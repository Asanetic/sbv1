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Sheet 1" sheetId="1" r:id="rId1"/>
  </sheet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/>
  <c r="C19"/>
  <c r="F18"/>
  <c r="F17"/>
  <c r="F16"/>
  <c r="F15"/>
  <c r="F14"/>
  <c r="F13"/>
  <c r="F12"/>
  <c r="F19" s="1"/>
  <c r="B23" s="1"/>
  <c r="B24" l="1"/>
  <c r="B26" s="1"/>
</calcChain>
</file>

<file path=xl/sharedStrings.xml><?xml version="1.0" encoding="utf-8"?>
<sst xmlns="http://schemas.openxmlformats.org/spreadsheetml/2006/main" count="94" uniqueCount="44">
  <si>
    <t>Plan Month</t>
  </si>
  <si>
    <t>Name</t>
  </si>
  <si>
    <t>Expected Customers</t>
  </si>
  <si>
    <t>Tag</t>
  </si>
  <si>
    <t>Average Deal Amount</t>
  </si>
  <si>
    <t>Expected Amt</t>
  </si>
  <si>
    <t>Actual Earnings</t>
  </si>
  <si>
    <t>Variance</t>
  </si>
  <si>
    <t>Status</t>
  </si>
  <si>
    <t>Notes</t>
  </si>
  <si>
    <t>Sept - 2026</t>
  </si>
  <si>
    <t>Content Care Plan Lite</t>
  </si>
  <si>
    <t>Monthly - reccurring</t>
  </si>
  <si>
    <t>Complete</t>
  </si>
  <si>
    <t>Makongeni elite</t>
  </si>
  <si>
    <t>Content Care Plan Bronze</t>
  </si>
  <si>
    <t>Pending</t>
  </si>
  <si>
    <t>Shrews bury ltd</t>
  </si>
  <si>
    <t>Infolink college</t>
  </si>
  <si>
    <t>Money wit</t>
  </si>
  <si>
    <t>Server Restoration / Emergency Fix</t>
  </si>
  <si>
    <t>one-time</t>
  </si>
  <si>
    <t>right way driving</t>
  </si>
  <si>
    <t>September Target Opportunities (pulled from your Income Sources catalog — not yet closed)</t>
  </si>
  <si>
    <t>Target</t>
  </si>
  <si>
    <t>One new Bronze content-care client</t>
  </si>
  <si>
    <t>Three new Lite content-care clients</t>
  </si>
  <si>
    <t>POS Setup &amp; eTIMS Fiscalization</t>
  </si>
  <si>
    <t>One POS deployment + eTIMS onboarding</t>
  </si>
  <si>
    <t>Website Design - Medium</t>
  </si>
  <si>
    <t>5-7 page site build</t>
  </si>
  <si>
    <t>A second emergency-fix job beyond Money wit's</t>
  </si>
  <si>
    <t>Content Studio / Marketing Assets</t>
  </si>
  <si>
    <t>Quick-turn content package — easiest to close fast</t>
  </si>
  <si>
    <t>Logo &amp; Brand Identity</t>
  </si>
  <si>
    <t>Buffer item — small, fast, low-effort close</t>
  </si>
  <si>
    <t>Target Opportunities Subtotal</t>
  </si>
  <si>
    <t>September Summary</t>
  </si>
  <si>
    <t>Confirmed pipeline (already in plan, rows 2-7)</t>
  </si>
  <si>
    <t>Target opportunities (to pursue this month)</t>
  </si>
  <si>
    <t>Grand total if all of the above close</t>
  </si>
  <si>
    <t>September goal</t>
  </si>
  <si>
    <t>Gap / buffer vs goal</t>
  </si>
  <si>
    <t>Reality check: 4 of your 6 confirmed deals are still 'Pending', not 'Complete' — those need to be closed before any target opportunity matters.</t>
  </si>
</sst>
</file>

<file path=xl/styles.xml><?xml version="1.0" encoding="utf-8"?>
<styleSheet xmlns="http://schemas.openxmlformats.org/spreadsheetml/2006/main">
  <numFmts count="1">
    <numFmt numFmtId="164" formatCode="&quot;KES &quot;#,##0"/>
  </numFmts>
  <fonts count="5">
    <font>
      <sz val="12"/>
      <color theme="1"/>
      <name val="Calibri"/>
      <family val="2"/>
      <charset val="1"/>
    </font>
    <font>
      <b/>
      <sz val="12"/>
      <name val="Calibri"/>
      <charset val="1"/>
    </font>
    <font>
      <b/>
      <sz val="12"/>
      <color rgb="FFFFFFFF"/>
      <name val="Calibri"/>
      <charset val="1"/>
    </font>
    <font>
      <sz val="12"/>
      <name val="Calibri"/>
      <charset val="1"/>
    </font>
    <font>
      <i/>
      <sz val="10"/>
      <color rgb="FF666666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Border="1"/>
    <xf numFmtId="0" fontId="1" fillId="0" borderId="0" xfId="0" applyFont="1" applyBorder="1"/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0" fontId="0" fillId="3" borderId="1" xfId="0" applyFont="1" applyFill="1" applyBorder="1"/>
    <xf numFmtId="0" fontId="4" fillId="0" borderId="1" xfId="0" applyFont="1" applyBorder="1"/>
    <xf numFmtId="0" fontId="1" fillId="0" borderId="0" xfId="0" applyFont="1"/>
    <xf numFmtId="164" fontId="1" fillId="0" borderId="0" xfId="0" applyNumberFormat="1" applyFont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ColWidth="8.625" defaultRowHeight="15.75"/>
  <cols>
    <col min="1" max="1" width="16" customWidth="1"/>
    <col min="2" max="2" width="30" customWidth="1"/>
    <col min="3" max="3" width="12" customWidth="1"/>
    <col min="4" max="4" width="18" customWidth="1"/>
    <col min="5" max="5" width="16" customWidth="1"/>
    <col min="6" max="7" width="14" customWidth="1"/>
    <col min="8" max="9" width="12" customWidth="1"/>
    <col min="10" max="10" width="4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</v>
      </c>
      <c r="D2" t="s">
        <v>12</v>
      </c>
      <c r="E2">
        <v>2500</v>
      </c>
      <c r="F2">
        <v>2500</v>
      </c>
      <c r="G2">
        <v>0</v>
      </c>
      <c r="H2">
        <v>0</v>
      </c>
      <c r="I2" t="s">
        <v>13</v>
      </c>
      <c r="J2" t="s">
        <v>14</v>
      </c>
    </row>
    <row r="3" spans="1:10">
      <c r="A3" t="s">
        <v>10</v>
      </c>
      <c r="B3" t="s">
        <v>15</v>
      </c>
      <c r="C3">
        <v>1</v>
      </c>
      <c r="D3" t="s">
        <v>12</v>
      </c>
      <c r="E3">
        <v>5500</v>
      </c>
      <c r="F3">
        <v>5500</v>
      </c>
      <c r="G3">
        <v>0</v>
      </c>
      <c r="H3">
        <v>0</v>
      </c>
      <c r="I3" t="s">
        <v>16</v>
      </c>
      <c r="J3" t="s">
        <v>17</v>
      </c>
    </row>
    <row r="4" spans="1:10">
      <c r="A4" t="s">
        <v>10</v>
      </c>
      <c r="B4" t="s">
        <v>15</v>
      </c>
      <c r="C4">
        <v>1</v>
      </c>
      <c r="D4" t="s">
        <v>12</v>
      </c>
      <c r="E4">
        <v>5500</v>
      </c>
      <c r="F4">
        <v>5500</v>
      </c>
      <c r="G4">
        <v>0</v>
      </c>
      <c r="H4">
        <v>0</v>
      </c>
      <c r="I4" t="s">
        <v>16</v>
      </c>
      <c r="J4" t="s">
        <v>18</v>
      </c>
    </row>
    <row r="5" spans="1:10">
      <c r="A5" t="s">
        <v>10</v>
      </c>
      <c r="B5" t="s">
        <v>11</v>
      </c>
      <c r="C5">
        <v>1</v>
      </c>
      <c r="D5" t="s">
        <v>12</v>
      </c>
      <c r="E5">
        <v>3500</v>
      </c>
      <c r="F5">
        <v>3500</v>
      </c>
      <c r="G5">
        <v>0</v>
      </c>
      <c r="H5">
        <v>0</v>
      </c>
      <c r="I5" t="s">
        <v>16</v>
      </c>
      <c r="J5" t="s">
        <v>19</v>
      </c>
    </row>
    <row r="6" spans="1:10">
      <c r="A6" t="s">
        <v>10</v>
      </c>
      <c r="B6" t="s">
        <v>20</v>
      </c>
      <c r="C6">
        <v>1</v>
      </c>
      <c r="D6" t="s">
        <v>21</v>
      </c>
      <c r="E6">
        <v>2500</v>
      </c>
      <c r="F6">
        <v>2500</v>
      </c>
      <c r="G6">
        <v>0</v>
      </c>
      <c r="H6">
        <v>0</v>
      </c>
      <c r="I6" t="s">
        <v>16</v>
      </c>
      <c r="J6" t="s">
        <v>19</v>
      </c>
    </row>
    <row r="7" spans="1:10">
      <c r="A7" t="s">
        <v>10</v>
      </c>
      <c r="B7" t="s">
        <v>11</v>
      </c>
      <c r="C7">
        <v>1</v>
      </c>
      <c r="D7" t="s">
        <v>12</v>
      </c>
      <c r="E7">
        <v>3500</v>
      </c>
      <c r="F7">
        <v>3500</v>
      </c>
      <c r="G7">
        <v>0</v>
      </c>
      <c r="H7">
        <v>0</v>
      </c>
      <c r="I7" t="s">
        <v>16</v>
      </c>
      <c r="J7" t="s">
        <v>22</v>
      </c>
    </row>
    <row r="8" spans="1:10">
      <c r="C8">
        <v>6</v>
      </c>
      <c r="E8">
        <v>23000</v>
      </c>
      <c r="F8">
        <v>23000</v>
      </c>
      <c r="G8">
        <v>0</v>
      </c>
      <c r="H8">
        <v>0</v>
      </c>
    </row>
    <row r="10" spans="1:10">
      <c r="A10" s="2" t="s">
        <v>23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9</v>
      </c>
    </row>
    <row r="12" spans="1:10">
      <c r="A12" s="4" t="s">
        <v>10</v>
      </c>
      <c r="B12" s="4" t="s">
        <v>15</v>
      </c>
      <c r="C12" s="4">
        <v>1</v>
      </c>
      <c r="D12" s="4" t="s">
        <v>12</v>
      </c>
      <c r="E12" s="5">
        <v>5500</v>
      </c>
      <c r="F12" s="5">
        <f t="shared" ref="F12:F18" si="0">C12*E12</f>
        <v>5500</v>
      </c>
      <c r="G12" s="6">
        <v>0</v>
      </c>
      <c r="H12" s="6">
        <v>0</v>
      </c>
      <c r="I12" s="7" t="s">
        <v>24</v>
      </c>
      <c r="J12" s="8" t="s">
        <v>25</v>
      </c>
    </row>
    <row r="13" spans="1:10">
      <c r="A13" s="4" t="s">
        <v>10</v>
      </c>
      <c r="B13" s="4" t="s">
        <v>11</v>
      </c>
      <c r="C13" s="4">
        <v>3</v>
      </c>
      <c r="D13" s="4" t="s">
        <v>12</v>
      </c>
      <c r="E13" s="5">
        <v>3500</v>
      </c>
      <c r="F13" s="5">
        <f t="shared" si="0"/>
        <v>10500</v>
      </c>
      <c r="G13" s="6">
        <v>0</v>
      </c>
      <c r="H13" s="6">
        <v>0</v>
      </c>
      <c r="I13" s="7" t="s">
        <v>24</v>
      </c>
      <c r="J13" s="8" t="s">
        <v>26</v>
      </c>
    </row>
    <row r="14" spans="1:10">
      <c r="A14" s="4" t="s">
        <v>10</v>
      </c>
      <c r="B14" s="4" t="s">
        <v>27</v>
      </c>
      <c r="C14" s="4">
        <v>1</v>
      </c>
      <c r="D14" s="4" t="s">
        <v>21</v>
      </c>
      <c r="E14" s="5">
        <v>30000</v>
      </c>
      <c r="F14" s="5">
        <f t="shared" si="0"/>
        <v>30000</v>
      </c>
      <c r="G14" s="6">
        <v>0</v>
      </c>
      <c r="H14" s="6">
        <v>0</v>
      </c>
      <c r="I14" s="7" t="s">
        <v>24</v>
      </c>
      <c r="J14" s="8" t="s">
        <v>28</v>
      </c>
    </row>
    <row r="15" spans="1:10">
      <c r="A15" s="4" t="s">
        <v>10</v>
      </c>
      <c r="B15" s="4" t="s">
        <v>29</v>
      </c>
      <c r="C15" s="4">
        <v>1</v>
      </c>
      <c r="D15" s="4" t="s">
        <v>21</v>
      </c>
      <c r="E15" s="5">
        <v>45000</v>
      </c>
      <c r="F15" s="5">
        <f t="shared" si="0"/>
        <v>45000</v>
      </c>
      <c r="G15" s="6">
        <v>0</v>
      </c>
      <c r="H15" s="6">
        <v>0</v>
      </c>
      <c r="I15" s="7" t="s">
        <v>24</v>
      </c>
      <c r="J15" s="8" t="s">
        <v>30</v>
      </c>
    </row>
    <row r="16" spans="1:10">
      <c r="A16" s="4" t="s">
        <v>10</v>
      </c>
      <c r="B16" s="4" t="s">
        <v>20</v>
      </c>
      <c r="C16" s="4">
        <v>1</v>
      </c>
      <c r="D16" s="4" t="s">
        <v>21</v>
      </c>
      <c r="E16" s="5">
        <v>25000</v>
      </c>
      <c r="F16" s="5">
        <f t="shared" si="0"/>
        <v>25000</v>
      </c>
      <c r="G16" s="6">
        <v>0</v>
      </c>
      <c r="H16" s="6">
        <v>0</v>
      </c>
      <c r="I16" s="7" t="s">
        <v>24</v>
      </c>
      <c r="J16" s="8" t="s">
        <v>31</v>
      </c>
    </row>
    <row r="17" spans="1:10">
      <c r="A17" s="4" t="s">
        <v>10</v>
      </c>
      <c r="B17" s="4" t="s">
        <v>32</v>
      </c>
      <c r="C17" s="4">
        <v>1</v>
      </c>
      <c r="D17" s="4" t="s">
        <v>21</v>
      </c>
      <c r="E17" s="5">
        <v>10000</v>
      </c>
      <c r="F17" s="5">
        <f t="shared" si="0"/>
        <v>10000</v>
      </c>
      <c r="G17" s="6">
        <v>0</v>
      </c>
      <c r="H17" s="6">
        <v>0</v>
      </c>
      <c r="I17" s="7" t="s">
        <v>24</v>
      </c>
      <c r="J17" s="8" t="s">
        <v>33</v>
      </c>
    </row>
    <row r="18" spans="1:10">
      <c r="A18" s="4" t="s">
        <v>10</v>
      </c>
      <c r="B18" s="4" t="s">
        <v>34</v>
      </c>
      <c r="C18" s="4">
        <v>1</v>
      </c>
      <c r="D18" s="4" t="s">
        <v>21</v>
      </c>
      <c r="E18" s="5">
        <v>7500</v>
      </c>
      <c r="F18" s="5">
        <f t="shared" si="0"/>
        <v>7500</v>
      </c>
      <c r="G18" s="6">
        <v>0</v>
      </c>
      <c r="H18" s="6">
        <v>0</v>
      </c>
      <c r="I18" s="7" t="s">
        <v>24</v>
      </c>
      <c r="J18" s="8" t="s">
        <v>35</v>
      </c>
    </row>
    <row r="19" spans="1:10">
      <c r="B19" s="9" t="s">
        <v>36</v>
      </c>
      <c r="C19" s="9">
        <f>SUM(C12:C18)</f>
        <v>9</v>
      </c>
      <c r="F19" s="10">
        <f>SUM(F12:F18)</f>
        <v>133500</v>
      </c>
    </row>
    <row r="21" spans="1:10">
      <c r="A21" s="9" t="s">
        <v>37</v>
      </c>
    </row>
    <row r="22" spans="1:10">
      <c r="A22" t="s">
        <v>38</v>
      </c>
      <c r="B22" s="10">
        <f>F8</f>
        <v>23000</v>
      </c>
    </row>
    <row r="23" spans="1:10">
      <c r="A23" t="s">
        <v>39</v>
      </c>
      <c r="B23" s="10">
        <f>F19</f>
        <v>133500</v>
      </c>
    </row>
    <row r="24" spans="1:10">
      <c r="A24" t="s">
        <v>40</v>
      </c>
      <c r="B24" s="11">
        <f>B22+B23</f>
        <v>156500</v>
      </c>
    </row>
    <row r="25" spans="1:10">
      <c r="A25" t="s">
        <v>41</v>
      </c>
      <c r="B25" s="10">
        <v>150000</v>
      </c>
    </row>
    <row r="26" spans="1:10">
      <c r="A26" t="s">
        <v>42</v>
      </c>
      <c r="B26" s="10">
        <f>B24-B25</f>
        <v>6500</v>
      </c>
    </row>
    <row r="28" spans="1:10">
      <c r="A28" s="1" t="s">
        <v>43</v>
      </c>
      <c r="B28" s="1"/>
      <c r="C28" s="1"/>
      <c r="D28" s="1"/>
      <c r="E28" s="1"/>
      <c r="F28" s="1"/>
      <c r="G28" s="1"/>
      <c r="H28" s="1"/>
      <c r="I28" s="1"/>
      <c r="J28" s="1"/>
    </row>
  </sheetData>
  <mergeCells count="2">
    <mergeCell ref="A10:J10"/>
    <mergeCell ref="A28:J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Asanetic</cp:lastModifiedBy>
  <cp:revision>0</cp:revision>
  <dcterms:created xsi:type="dcterms:W3CDTF">2026-08-31T02:54:55Z</dcterms:created>
  <dcterms:modified xsi:type="dcterms:W3CDTF">2026-08-31T03:15:37Z</dcterms:modified>
  <dc:language>en-US</dc:language>
</cp:coreProperties>
</file>