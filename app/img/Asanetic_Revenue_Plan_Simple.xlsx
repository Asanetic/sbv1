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 activeTab="2"/>
  </bookViews>
  <sheets>
    <sheet name="Start Here" sheetId="1" r:id="rId1"/>
    <sheet name="Assumptions" sheetId="2" r:id="rId2"/>
    <sheet name="Month by Month" sheetId="3" r:id="rId3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0" i="3"/>
  <c r="D21" s="1"/>
  <c r="C11" i="1" s="1"/>
  <c r="B17" i="3"/>
  <c r="B16"/>
  <c r="B15"/>
  <c r="B14"/>
  <c r="B13"/>
  <c r="B12"/>
  <c r="B11"/>
  <c r="B10"/>
  <c r="B9"/>
  <c r="B8"/>
  <c r="H7"/>
  <c r="H8" s="1"/>
  <c r="H9" s="1"/>
  <c r="H10" s="1"/>
  <c r="H11" s="1"/>
  <c r="H12" s="1"/>
  <c r="H13" s="1"/>
  <c r="H14" s="1"/>
  <c r="H15" s="1"/>
  <c r="H16" s="1"/>
  <c r="H17" s="1"/>
  <c r="B7"/>
  <c r="I6"/>
  <c r="I7" s="1"/>
  <c r="I8" s="1"/>
  <c r="I9" s="1"/>
  <c r="I10" s="1"/>
  <c r="I11" s="1"/>
  <c r="I12" s="1"/>
  <c r="I13" s="1"/>
  <c r="I14" s="1"/>
  <c r="I15" s="1"/>
  <c r="I16" s="1"/>
  <c r="I17" s="1"/>
  <c r="H6"/>
  <c r="G6"/>
  <c r="G7" s="1"/>
  <c r="G8" s="1"/>
  <c r="G9" s="1"/>
  <c r="G10" s="1"/>
  <c r="G11" s="1"/>
  <c r="G12" s="1"/>
  <c r="G13" s="1"/>
  <c r="G14" s="1"/>
  <c r="G15" s="1"/>
  <c r="G16" s="1"/>
  <c r="G17" s="1"/>
  <c r="B6"/>
  <c r="F5"/>
  <c r="F6" s="1"/>
  <c r="D5"/>
  <c r="C5"/>
  <c r="B20" i="2"/>
  <c r="F7" i="3" l="1"/>
  <c r="D6"/>
  <c r="C6"/>
  <c r="C9" i="1"/>
  <c r="C10" s="1"/>
  <c r="C7" i="3" l="1"/>
  <c r="F8"/>
  <c r="D7"/>
  <c r="D8" l="1"/>
  <c r="C8"/>
  <c r="F9"/>
  <c r="C9" l="1"/>
  <c r="F10"/>
  <c r="D9"/>
  <c r="F11" l="1"/>
  <c r="D10"/>
  <c r="C10"/>
  <c r="C11" l="1"/>
  <c r="F12"/>
  <c r="D11"/>
  <c r="C12" l="1"/>
  <c r="D12"/>
  <c r="F13"/>
  <c r="C13" l="1"/>
  <c r="F14"/>
  <c r="D13"/>
  <c r="F15" l="1"/>
  <c r="D14"/>
  <c r="C14"/>
  <c r="F16" l="1"/>
  <c r="D15"/>
  <c r="C15"/>
  <c r="C16" l="1"/>
  <c r="F17"/>
  <c r="D16"/>
  <c r="C17" l="1"/>
  <c r="D17"/>
</calcChain>
</file>

<file path=xl/sharedStrings.xml><?xml version="1.0" encoding="utf-8"?>
<sst xmlns="http://schemas.openxmlformats.org/spreadsheetml/2006/main" count="67" uniqueCount="63">
  <si>
    <t>Your Goal: KES 150,000 every month</t>
  </si>
  <si>
    <t>Where you are right now</t>
  </si>
  <si>
    <t>Clients you have today</t>
  </si>
  <si>
    <t>Money you make per month today</t>
  </si>
  <si>
    <t>What you need to reach the goal</t>
  </si>
  <si>
    <t>Total clients needed (across everything)</t>
  </si>
  <si>
    <t>More clients you still need to find</t>
  </si>
  <si>
    <t>How many months this will take at your current pace</t>
  </si>
  <si>
    <t>How to read the other two tabs</t>
  </si>
  <si>
    <t>•  Assumptions = the numbers you can change (prices, how many new clients you get each month).</t>
  </si>
  <si>
    <t>•  Month by Month = one row per month, showing clients and money for that month only.</t>
  </si>
  <si>
    <t>•  Every number with a yellow background is one you can edit. Everything else updates itself.</t>
  </si>
  <si>
    <t>Numbers you can change</t>
  </si>
  <si>
    <t>Yellow cells = edit these. Everything else updates on its own.</t>
  </si>
  <si>
    <t>How much each product earns per month, per client</t>
  </si>
  <si>
    <t>Product</t>
  </si>
  <si>
    <t>Price (KES/month)</t>
  </si>
  <si>
    <t>Note</t>
  </si>
  <si>
    <t>Content Care Plan</t>
  </si>
  <si>
    <t>Average of your actual clients so far</t>
  </si>
  <si>
    <t>POS (Rack POS)</t>
  </si>
  <si>
    <t>Middle of your 1,500–2,500 range</t>
  </si>
  <si>
    <t>Real Estate / Construction SaaS</t>
  </si>
  <si>
    <t>You said '4,000 and above' — update once pricing is fixed</t>
  </si>
  <si>
    <t>Rental Management System</t>
  </si>
  <si>
    <t>As you specified</t>
  </si>
  <si>
    <t>How many new clients you close each month</t>
  </si>
  <si>
    <t>New clients per month (all products together)</t>
  </si>
  <si>
    <t>Whole number. You said 2–3/month — using 3 here.</t>
  </si>
  <si>
    <t>Out of every new client, how many go to each product</t>
  </si>
  <si>
    <t>(Must add up to 100%. Change these once you know which product sells fastest.)</t>
  </si>
  <si>
    <t>Check — should read 100%:</t>
  </si>
  <si>
    <t>Your starting point (September 2026, actual)</t>
  </si>
  <si>
    <t>Clients you have now</t>
  </si>
  <si>
    <t>Money you make per month now</t>
  </si>
  <si>
    <t>Your monthly goal</t>
  </si>
  <si>
    <t>Month by Month Plan</t>
  </si>
  <si>
    <t>Each row is ONE month. 'Money this month' is what you earn THAT month only — it is not a running total.</t>
  </si>
  <si>
    <t>Month</t>
  </si>
  <si>
    <t>New Clients
This Month</t>
  </si>
  <si>
    <t>Total Clients
So Far</t>
  </si>
  <si>
    <t>Money This
Month (KES)</t>
  </si>
  <si>
    <t>CC</t>
  </si>
  <si>
    <t>POS</t>
  </si>
  <si>
    <t>RE</t>
  </si>
  <si>
    <t>Rent</t>
  </si>
  <si>
    <t>Sep-2026 (now)</t>
  </si>
  <si>
    <t>—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</si>
  <si>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</si>
  <si>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</si>
  <si>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</si>
  <si>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</si>
  <si>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</si>
  <si>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</si>
  <si>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</si>
  <si>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</si>
  <si>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</si>
  <si>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</si>
  <si>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</si>
  <si>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</si>
  <si>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Answer box</t>
  </si>
  <si>
    <t>Total clients needed to hit your goal</t>
  </si>
  <si>
    <t>Months to get there at your current pace</t>
  </si>
</sst>
</file>

<file path=xl/styles.xml><?xml version="1.0" encoding="utf-8"?>
<styleSheet xmlns="http://schemas.openxmlformats.org/spreadsheetml/2006/main">
  <numFmts count="1">
    <numFmt numFmtId="164" formatCode="&quot;KES &quot;#,##0"/>
  </numFmts>
  <fonts count="10">
    <font>
      <sz val="11"/>
      <color theme="1"/>
      <name val="Calibri"/>
      <family val="2"/>
      <charset val="1"/>
    </font>
    <font>
      <b/>
      <sz val="20"/>
      <color rgb="FF1F497D"/>
      <name val="Arial"/>
      <charset val="1"/>
    </font>
    <font>
      <b/>
      <sz val="14"/>
      <color rgb="FF1F497D"/>
      <name val="Arial"/>
      <charset val="1"/>
    </font>
    <font>
      <sz val="12"/>
      <color rgb="FF000000"/>
      <name val="Arial"/>
      <charset val="1"/>
    </font>
    <font>
      <b/>
      <sz val="12"/>
      <name val="Arial"/>
      <charset val="1"/>
    </font>
    <font>
      <i/>
      <sz val="10"/>
      <color rgb="FF666666"/>
      <name val="Arial"/>
      <charset val="1"/>
    </font>
    <font>
      <b/>
      <sz val="12"/>
      <color rgb="FFFFFFFF"/>
      <name val="Arial"/>
      <charset val="1"/>
    </font>
    <font>
      <sz val="12"/>
      <color rgb="FF0000FF"/>
      <name val="Arial"/>
      <charset val="1"/>
    </font>
    <font>
      <b/>
      <sz val="11"/>
      <color rgb="FFFFFFFF"/>
      <name val="Arial"/>
      <charset val="1"/>
    </font>
    <font>
      <sz val="12"/>
      <color rgb="FF008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  <fill>
      <patternFill patternType="solid">
        <fgColor rgb="FF1F497D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0" xfId="0" applyFont="1" applyBorder="1"/>
    <xf numFmtId="0" fontId="2" fillId="0" borderId="0" xfId="0" applyFont="1" applyBorder="1"/>
    <xf numFmtId="0" fontId="1" fillId="0" borderId="0" xfId="0" applyFont="1" applyBorder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2" fillId="0" borderId="0" xfId="0" applyFont="1"/>
    <xf numFmtId="0" fontId="4" fillId="2" borderId="0" xfId="0" applyFont="1" applyFill="1"/>
    <xf numFmtId="0" fontId="5" fillId="0" borderId="0" xfId="0" applyFont="1"/>
    <xf numFmtId="0" fontId="6" fillId="3" borderId="1" xfId="0" applyFont="1" applyFill="1" applyBorder="1"/>
    <xf numFmtId="0" fontId="3" fillId="0" borderId="1" xfId="0" applyFont="1" applyBorder="1"/>
    <xf numFmtId="164" fontId="7" fillId="4" borderId="1" xfId="0" applyNumberFormat="1" applyFont="1" applyFill="1" applyBorder="1"/>
    <xf numFmtId="0" fontId="5" fillId="0" borderId="1" xfId="0" applyFont="1" applyBorder="1"/>
    <xf numFmtId="0" fontId="7" fillId="4" borderId="0" xfId="0" applyFont="1" applyFill="1"/>
    <xf numFmtId="0" fontId="0" fillId="0" borderId="1" xfId="0" applyFont="1" applyBorder="1"/>
    <xf numFmtId="9" fontId="7" fillId="4" borderId="1" xfId="0" applyNumberFormat="1" applyFont="1" applyFill="1" applyBorder="1"/>
    <xf numFmtId="9" fontId="4" fillId="0" borderId="0" xfId="0" applyNumberFormat="1" applyFont="1"/>
    <xf numFmtId="164" fontId="7" fillId="4" borderId="0" xfId="0" applyNumberFormat="1" applyFont="1" applyFill="1"/>
    <xf numFmtId="0" fontId="8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0" fillId="0" borderId="0" xfId="0"/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C16"/>
  <sheetViews>
    <sheetView showGridLines="0" workbookViewId="0"/>
  </sheetViews>
  <sheetFormatPr defaultColWidth="8.7109375" defaultRowHeight="15"/>
  <cols>
    <col min="1" max="1" width="4" customWidth="1"/>
    <col min="2" max="2" width="34" customWidth="1"/>
    <col min="3" max="3" width="22" customWidth="1"/>
    <col min="4" max="4" width="4" customWidth="1"/>
  </cols>
  <sheetData>
    <row r="2" spans="2:3" ht="26.25">
      <c r="B2" s="3" t="s">
        <v>0</v>
      </c>
      <c r="C2" s="3"/>
    </row>
    <row r="4" spans="2:3" ht="18">
      <c r="B4" s="2" t="s">
        <v>1</v>
      </c>
      <c r="C4" s="2"/>
    </row>
    <row r="5" spans="2:3" ht="15.75">
      <c r="B5" s="4" t="s">
        <v>2</v>
      </c>
      <c r="C5" s="5">
        <v>5</v>
      </c>
    </row>
    <row r="6" spans="2:3" ht="15.75">
      <c r="B6" s="4" t="s">
        <v>3</v>
      </c>
      <c r="C6" s="6">
        <v>20500</v>
      </c>
    </row>
    <row r="8" spans="2:3" ht="18">
      <c r="B8" s="7" t="s">
        <v>4</v>
      </c>
    </row>
    <row r="9" spans="2:3" ht="15.75">
      <c r="B9" s="4" t="s">
        <v>5</v>
      </c>
      <c r="C9" s="5">
        <f>'Month by Month'!D20</f>
        <v>43</v>
      </c>
    </row>
    <row r="10" spans="2:3" ht="15.75">
      <c r="B10" s="4" t="s">
        <v>6</v>
      </c>
      <c r="C10" s="8">
        <f>C9-C5</f>
        <v>38</v>
      </c>
    </row>
    <row r="11" spans="2:3" ht="15.75">
      <c r="B11" s="4" t="s">
        <v>7</v>
      </c>
      <c r="C11" s="8">
        <f>'Month by Month'!D21</f>
        <v>13</v>
      </c>
    </row>
    <row r="13" spans="2:3" ht="18">
      <c r="B13" s="7" t="s">
        <v>8</v>
      </c>
    </row>
    <row r="14" spans="2:3">
      <c r="B14" s="1" t="s">
        <v>9</v>
      </c>
      <c r="C14" s="1"/>
    </row>
    <row r="15" spans="2:3">
      <c r="B15" s="1" t="s">
        <v>10</v>
      </c>
      <c r="C15" s="1"/>
    </row>
    <row r="16" spans="2:3">
      <c r="B16" s="1" t="s">
        <v>11</v>
      </c>
      <c r="C16" s="1"/>
    </row>
  </sheetData>
  <mergeCells count="5">
    <mergeCell ref="B2:C2"/>
    <mergeCell ref="B4:C4"/>
    <mergeCell ref="B14:C14"/>
    <mergeCell ref="B15:C15"/>
    <mergeCell ref="B16:C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showGridLines="0" topLeftCell="A4" workbookViewId="0">
      <selection activeCell="B24" sqref="B24"/>
    </sheetView>
  </sheetViews>
  <sheetFormatPr defaultColWidth="8.7109375" defaultRowHeight="15"/>
  <cols>
    <col min="1" max="1" width="53.28515625" customWidth="1"/>
    <col min="2" max="2" width="31.28515625" customWidth="1"/>
    <col min="3" max="3" width="50" customWidth="1"/>
  </cols>
  <sheetData>
    <row r="1" spans="1:3" ht="18">
      <c r="A1" s="7" t="s">
        <v>12</v>
      </c>
    </row>
    <row r="2" spans="1:3">
      <c r="A2" s="9" t="s">
        <v>13</v>
      </c>
    </row>
    <row r="4" spans="1:3" ht="15.75">
      <c r="A4" s="5" t="s">
        <v>14</v>
      </c>
    </row>
    <row r="5" spans="1:3" ht="15.75">
      <c r="A5" s="10" t="s">
        <v>15</v>
      </c>
      <c r="B5" s="10" t="s">
        <v>16</v>
      </c>
      <c r="C5" s="10" t="s">
        <v>17</v>
      </c>
    </row>
    <row r="6" spans="1:3" ht="15.75">
      <c r="A6" s="11" t="s">
        <v>18</v>
      </c>
      <c r="B6" s="12">
        <v>3999</v>
      </c>
      <c r="C6" s="13" t="s">
        <v>19</v>
      </c>
    </row>
    <row r="7" spans="1:3" ht="15.75">
      <c r="A7" s="11" t="s">
        <v>20</v>
      </c>
      <c r="B7" s="12">
        <v>2999</v>
      </c>
      <c r="C7" s="13" t="s">
        <v>21</v>
      </c>
    </row>
    <row r="8" spans="1:3" ht="15.75">
      <c r="A8" s="11" t="s">
        <v>22</v>
      </c>
      <c r="B8" s="12">
        <v>4500</v>
      </c>
      <c r="C8" s="13" t="s">
        <v>23</v>
      </c>
    </row>
    <row r="9" spans="1:3" ht="15.75">
      <c r="A9" s="11" t="s">
        <v>24</v>
      </c>
      <c r="B9" s="12">
        <v>2599</v>
      </c>
      <c r="C9" s="13" t="s">
        <v>25</v>
      </c>
    </row>
    <row r="11" spans="1:3" ht="15.75">
      <c r="A11" s="5" t="s">
        <v>26</v>
      </c>
    </row>
    <row r="12" spans="1:3" ht="15.75">
      <c r="A12" t="s">
        <v>27</v>
      </c>
      <c r="B12" s="14">
        <v>3</v>
      </c>
      <c r="C12" s="9" t="s">
        <v>28</v>
      </c>
    </row>
    <row r="14" spans="1:3" ht="15.75">
      <c r="A14" s="5" t="s">
        <v>29</v>
      </c>
    </row>
    <row r="15" spans="1:3">
      <c r="A15" s="9" t="s">
        <v>30</v>
      </c>
    </row>
    <row r="16" spans="1:3" ht="15.75">
      <c r="A16" s="15" t="s">
        <v>18</v>
      </c>
      <c r="B16" s="16">
        <v>0.25</v>
      </c>
    </row>
    <row r="17" spans="1:2" ht="15.75">
      <c r="A17" s="15" t="s">
        <v>20</v>
      </c>
      <c r="B17" s="16">
        <v>0.25</v>
      </c>
    </row>
    <row r="18" spans="1:2" ht="15.75">
      <c r="A18" s="15" t="s">
        <v>22</v>
      </c>
      <c r="B18" s="16">
        <v>0.25</v>
      </c>
    </row>
    <row r="19" spans="1:2" ht="15.75">
      <c r="A19" s="15" t="s">
        <v>24</v>
      </c>
      <c r="B19" s="16">
        <v>0.25</v>
      </c>
    </row>
    <row r="20" spans="1:2" ht="15.75">
      <c r="A20" t="s">
        <v>31</v>
      </c>
      <c r="B20" s="17">
        <f>SUM(B16:B19)</f>
        <v>1</v>
      </c>
    </row>
    <row r="22" spans="1:2" ht="15.75">
      <c r="A22" s="5" t="s">
        <v>32</v>
      </c>
    </row>
    <row r="23" spans="1:2" ht="15.75">
      <c r="A23" t="s">
        <v>33</v>
      </c>
      <c r="B23" s="14">
        <v>5</v>
      </c>
    </row>
    <row r="24" spans="1:2" ht="15.75">
      <c r="A24" t="s">
        <v>34</v>
      </c>
      <c r="B24" s="18">
        <v>20500</v>
      </c>
    </row>
    <row r="25" spans="1:2" ht="15.75">
      <c r="A25" t="s">
        <v>35</v>
      </c>
      <c r="B25" s="18">
        <v>150000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18" sqref="C18"/>
    </sheetView>
  </sheetViews>
  <sheetFormatPr defaultColWidth="8.7109375" defaultRowHeight="15"/>
  <cols>
    <col min="1" max="1" width="45" customWidth="1"/>
    <col min="2" max="2" width="38.7109375" customWidth="1"/>
    <col min="3" max="3" width="31.85546875" customWidth="1"/>
    <col min="4" max="4" width="28.140625" customWidth="1"/>
    <col min="6" max="9" width="13" hidden="1" customWidth="1"/>
  </cols>
  <sheetData>
    <row r="1" spans="1:9" ht="18">
      <c r="A1" s="7" t="s">
        <v>36</v>
      </c>
    </row>
    <row r="2" spans="1:9">
      <c r="A2" s="1" t="s">
        <v>37</v>
      </c>
      <c r="B2" s="1"/>
      <c r="C2" s="1"/>
      <c r="D2" s="1"/>
    </row>
    <row r="4" spans="1:9" ht="31.5" customHeight="1">
      <c r="A4" s="19" t="s">
        <v>38</v>
      </c>
      <c r="B4" s="19" t="s">
        <v>39</v>
      </c>
      <c r="C4" s="19" t="s">
        <v>40</v>
      </c>
      <c r="D4" s="19" t="s">
        <v>41</v>
      </c>
      <c r="F4" s="9" t="s">
        <v>42</v>
      </c>
      <c r="G4" s="9" t="s">
        <v>43</v>
      </c>
      <c r="H4" s="9" t="s">
        <v>44</v>
      </c>
      <c r="I4" s="9" t="s">
        <v>45</v>
      </c>
    </row>
    <row r="5" spans="1:9" ht="15.75">
      <c r="A5" s="20" t="s">
        <v>46</v>
      </c>
      <c r="B5" s="15" t="s">
        <v>47</v>
      </c>
      <c r="C5" s="20">
        <f t="shared" ref="C5:C18" si="0">ROUND(F5+G5+H5+I5,0)</f>
        <v>5</v>
      </c>
      <c r="D5" s="21">
        <f>F5*Assumptions!$B$6+G5*Assumptions!$B$7+H5*Assumptions!$B$8+I5*Assumptions!$B$9</f>
        <v>19995</v>
      </c>
      <c r="F5" s="22">
        <f>Assumptions!$B$23</f>
        <v>5</v>
      </c>
      <c r="G5">
        <v>0</v>
      </c>
      <c r="H5">
        <v>0</v>
      </c>
      <c r="I5">
        <v>0</v>
      </c>
    </row>
    <row r="6" spans="1:9" ht="15.75">
      <c r="A6" s="11" t="s">
        <v>48</v>
      </c>
      <c r="B6" s="23">
        <f>ROUND(Assumptions!$B$12,0)</f>
        <v>3</v>
      </c>
      <c r="C6" s="20">
        <f t="shared" si="0"/>
        <v>8</v>
      </c>
      <c r="D6" s="21">
        <f>F6*Assumptions!$B$6+G6*Assumptions!$B$7+H6*Assumptions!$B$8+I6*Assumptions!$B$9</f>
        <v>30567.75</v>
      </c>
      <c r="F6" s="22">
        <f>F5+Assumptions!$B$12*Assumptions!$B$16</f>
        <v>5.75</v>
      </c>
      <c r="G6" s="22">
        <f>G5+Assumptions!$B$12*Assumptions!$B$17</f>
        <v>0.75</v>
      </c>
      <c r="H6" s="22">
        <f>H5+Assumptions!$B$12*Assumptions!$B$18</f>
        <v>0.75</v>
      </c>
      <c r="I6" s="22">
        <f>I5+Assumptions!$B$12*Assumptions!$B$19</f>
        <v>0.75</v>
      </c>
    </row>
    <row r="7" spans="1:9" ht="15.75">
      <c r="A7" s="11" t="s">
        <v>49</v>
      </c>
      <c r="B7" s="23">
        <f>ROUND(Assumptions!$B$12,0)</f>
        <v>3</v>
      </c>
      <c r="C7" s="20">
        <f t="shared" si="0"/>
        <v>11</v>
      </c>
      <c r="D7" s="21">
        <f>F7*Assumptions!$B$6+G7*Assumptions!$B$7+H7*Assumptions!$B$8+I7*Assumptions!$B$9</f>
        <v>41140.5</v>
      </c>
      <c r="F7" s="22">
        <f>F6+Assumptions!$B$12*Assumptions!$B$16</f>
        <v>6.5</v>
      </c>
      <c r="G7" s="22">
        <f>G6+Assumptions!$B$12*Assumptions!$B$17</f>
        <v>1.5</v>
      </c>
      <c r="H7" s="22">
        <f>H6+Assumptions!$B$12*Assumptions!$B$18</f>
        <v>1.5</v>
      </c>
      <c r="I7" s="22">
        <f>I6+Assumptions!$B$12*Assumptions!$B$19</f>
        <v>1.5</v>
      </c>
    </row>
    <row r="8" spans="1:9" ht="15.75">
      <c r="A8" s="11" t="s">
        <v>50</v>
      </c>
      <c r="B8" s="23">
        <f>ROUND(Assumptions!$B$12,0)</f>
        <v>3</v>
      </c>
      <c r="C8" s="20">
        <f t="shared" si="0"/>
        <v>14</v>
      </c>
      <c r="D8" s="21">
        <f>F8*Assumptions!$B$6+G8*Assumptions!$B$7+H8*Assumptions!$B$8+I8*Assumptions!$B$9</f>
        <v>51713.25</v>
      </c>
      <c r="F8" s="22">
        <f>F7+Assumptions!$B$12*Assumptions!$B$16</f>
        <v>7.25</v>
      </c>
      <c r="G8" s="22">
        <f>G7+Assumptions!$B$12*Assumptions!$B$17</f>
        <v>2.25</v>
      </c>
      <c r="H8" s="22">
        <f>H7+Assumptions!$B$12*Assumptions!$B$18</f>
        <v>2.25</v>
      </c>
      <c r="I8" s="22">
        <f>I7+Assumptions!$B$12*Assumptions!$B$19</f>
        <v>2.25</v>
      </c>
    </row>
    <row r="9" spans="1:9" ht="15.75">
      <c r="A9" s="11" t="s">
        <v>51</v>
      </c>
      <c r="B9" s="23">
        <f>ROUND(Assumptions!$B$12,0)</f>
        <v>3</v>
      </c>
      <c r="C9" s="20">
        <f t="shared" si="0"/>
        <v>17</v>
      </c>
      <c r="D9" s="21">
        <f>F9*Assumptions!$B$6+G9*Assumptions!$B$7+H9*Assumptions!$B$8+I9*Assumptions!$B$9</f>
        <v>62286</v>
      </c>
      <c r="F9" s="22">
        <f>F8+Assumptions!$B$12*Assumptions!$B$16</f>
        <v>8</v>
      </c>
      <c r="G9" s="22">
        <f>G8+Assumptions!$B$12*Assumptions!$B$17</f>
        <v>3</v>
      </c>
      <c r="H9" s="22">
        <f>H8+Assumptions!$B$12*Assumptions!$B$18</f>
        <v>3</v>
      </c>
      <c r="I9" s="22">
        <f>I8+Assumptions!$B$12*Assumptions!$B$19</f>
        <v>3</v>
      </c>
    </row>
    <row r="10" spans="1:9" ht="15.75">
      <c r="A10" s="11" t="s">
        <v>52</v>
      </c>
      <c r="B10" s="23">
        <f>ROUND(Assumptions!$B$12,0)</f>
        <v>3</v>
      </c>
      <c r="C10" s="20">
        <f t="shared" si="0"/>
        <v>20</v>
      </c>
      <c r="D10" s="21">
        <f>F10*Assumptions!$B$6+G10*Assumptions!$B$7+H10*Assumptions!$B$8+I10*Assumptions!$B$9</f>
        <v>72858.75</v>
      </c>
      <c r="F10" s="22">
        <f>F9+Assumptions!$B$12*Assumptions!$B$16</f>
        <v>8.75</v>
      </c>
      <c r="G10" s="22">
        <f>G9+Assumptions!$B$12*Assumptions!$B$17</f>
        <v>3.75</v>
      </c>
      <c r="H10" s="22">
        <f>H9+Assumptions!$B$12*Assumptions!$B$18</f>
        <v>3.75</v>
      </c>
      <c r="I10" s="22">
        <f>I9+Assumptions!$B$12*Assumptions!$B$19</f>
        <v>3.75</v>
      </c>
    </row>
    <row r="11" spans="1:9" ht="15.75">
      <c r="A11" s="11" t="s">
        <v>53</v>
      </c>
      <c r="B11" s="23">
        <f>ROUND(Assumptions!$B$12,0)</f>
        <v>3</v>
      </c>
      <c r="C11" s="20">
        <f t="shared" si="0"/>
        <v>23</v>
      </c>
      <c r="D11" s="21">
        <f>F11*Assumptions!$B$6+G11*Assumptions!$B$7+H11*Assumptions!$B$8+I11*Assumptions!$B$9</f>
        <v>83431.5</v>
      </c>
      <c r="F11" s="22">
        <f>F10+Assumptions!$B$12*Assumptions!$B$16</f>
        <v>9.5</v>
      </c>
      <c r="G11" s="22">
        <f>G10+Assumptions!$B$12*Assumptions!$B$17</f>
        <v>4.5</v>
      </c>
      <c r="H11" s="22">
        <f>H10+Assumptions!$B$12*Assumptions!$B$18</f>
        <v>4.5</v>
      </c>
      <c r="I11" s="22">
        <f>I10+Assumptions!$B$12*Assumptions!$B$19</f>
        <v>4.5</v>
      </c>
    </row>
    <row r="12" spans="1:9" ht="15.75">
      <c r="A12" s="11" t="s">
        <v>54</v>
      </c>
      <c r="B12" s="23">
        <f>ROUND(Assumptions!$B$12,0)</f>
        <v>3</v>
      </c>
      <c r="C12" s="20">
        <f t="shared" si="0"/>
        <v>26</v>
      </c>
      <c r="D12" s="21">
        <f>F12*Assumptions!$B$6+G12*Assumptions!$B$7+H12*Assumptions!$B$8+I12*Assumptions!$B$9</f>
        <v>94004.25</v>
      </c>
      <c r="F12" s="22">
        <f>F11+Assumptions!$B$12*Assumptions!$B$16</f>
        <v>10.25</v>
      </c>
      <c r="G12" s="22">
        <f>G11+Assumptions!$B$12*Assumptions!$B$17</f>
        <v>5.25</v>
      </c>
      <c r="H12" s="22">
        <f>H11+Assumptions!$B$12*Assumptions!$B$18</f>
        <v>5.25</v>
      </c>
      <c r="I12" s="22">
        <f>I11+Assumptions!$B$12*Assumptions!$B$19</f>
        <v>5.25</v>
      </c>
    </row>
    <row r="13" spans="1:9" ht="15.75">
      <c r="A13" s="11" t="s">
        <v>55</v>
      </c>
      <c r="B13" s="23">
        <f>ROUND(Assumptions!$B$12,0)</f>
        <v>3</v>
      </c>
      <c r="C13" s="20">
        <f t="shared" si="0"/>
        <v>29</v>
      </c>
      <c r="D13" s="21">
        <f>F13*Assumptions!$B$6+G13*Assumptions!$B$7+H13*Assumptions!$B$8+I13*Assumptions!$B$9</f>
        <v>104577</v>
      </c>
      <c r="F13" s="22">
        <f>F12+Assumptions!$B$12*Assumptions!$B$16</f>
        <v>11</v>
      </c>
      <c r="G13" s="22">
        <f>G12+Assumptions!$B$12*Assumptions!$B$17</f>
        <v>6</v>
      </c>
      <c r="H13" s="22">
        <f>H12+Assumptions!$B$12*Assumptions!$B$18</f>
        <v>6</v>
      </c>
      <c r="I13" s="22">
        <f>I12+Assumptions!$B$12*Assumptions!$B$19</f>
        <v>6</v>
      </c>
    </row>
    <row r="14" spans="1:9" ht="15.75">
      <c r="A14" s="11" t="s">
        <v>56</v>
      </c>
      <c r="B14" s="23">
        <f>ROUND(Assumptions!$B$12,0)</f>
        <v>3</v>
      </c>
      <c r="C14" s="20">
        <f t="shared" si="0"/>
        <v>32</v>
      </c>
      <c r="D14" s="21">
        <f>F14*Assumptions!$B$6+G14*Assumptions!$B$7+H14*Assumptions!$B$8+I14*Assumptions!$B$9</f>
        <v>115149.75</v>
      </c>
      <c r="F14" s="22">
        <f>F13+Assumptions!$B$12*Assumptions!$B$16</f>
        <v>11.75</v>
      </c>
      <c r="G14" s="22">
        <f>G13+Assumptions!$B$12*Assumptions!$B$17</f>
        <v>6.75</v>
      </c>
      <c r="H14" s="22">
        <f>H13+Assumptions!$B$12*Assumptions!$B$18</f>
        <v>6.75</v>
      </c>
      <c r="I14" s="22">
        <f>I13+Assumptions!$B$12*Assumptions!$B$19</f>
        <v>6.75</v>
      </c>
    </row>
    <row r="15" spans="1:9" ht="15.75">
      <c r="A15" s="11" t="s">
        <v>57</v>
      </c>
      <c r="B15" s="23">
        <f>ROUND(Assumptions!$B$12,0)</f>
        <v>3</v>
      </c>
      <c r="C15" s="20">
        <f t="shared" si="0"/>
        <v>35</v>
      </c>
      <c r="D15" s="21">
        <f>F15*Assumptions!$B$6+G15*Assumptions!$B$7+H15*Assumptions!$B$8+I15*Assumptions!$B$9</f>
        <v>125722.5</v>
      </c>
      <c r="F15" s="22">
        <f>F14+Assumptions!$B$12*Assumptions!$B$16</f>
        <v>12.5</v>
      </c>
      <c r="G15" s="22">
        <f>G14+Assumptions!$B$12*Assumptions!$B$17</f>
        <v>7.5</v>
      </c>
      <c r="H15" s="22">
        <f>H14+Assumptions!$B$12*Assumptions!$B$18</f>
        <v>7.5</v>
      </c>
      <c r="I15" s="22">
        <f>I14+Assumptions!$B$12*Assumptions!$B$19</f>
        <v>7.5</v>
      </c>
    </row>
    <row r="16" spans="1:9" ht="15.75">
      <c r="A16" s="11" t="s">
        <v>58</v>
      </c>
      <c r="B16" s="23">
        <f>ROUND(Assumptions!$B$12,0)</f>
        <v>3</v>
      </c>
      <c r="C16" s="20">
        <f t="shared" si="0"/>
        <v>38</v>
      </c>
      <c r="D16" s="21">
        <f>F16*Assumptions!$B$6+G16*Assumptions!$B$7+H16*Assumptions!$B$8+I16*Assumptions!$B$9</f>
        <v>136295.25</v>
      </c>
      <c r="F16" s="22">
        <f>F15+Assumptions!$B$12*Assumptions!$B$16</f>
        <v>13.25</v>
      </c>
      <c r="G16" s="22">
        <f>G15+Assumptions!$B$12*Assumptions!$B$17</f>
        <v>8.25</v>
      </c>
      <c r="H16" s="22">
        <f>H15+Assumptions!$B$12*Assumptions!$B$18</f>
        <v>8.25</v>
      </c>
      <c r="I16" s="22">
        <f>I15+Assumptions!$B$12*Assumptions!$B$19</f>
        <v>8.25</v>
      </c>
    </row>
    <row r="17" spans="1:9" ht="15.75">
      <c r="A17" s="11" t="s">
        <v>59</v>
      </c>
      <c r="B17" s="23">
        <f>ROUND(Assumptions!$B$12,0)</f>
        <v>3</v>
      </c>
      <c r="C17" s="20">
        <f t="shared" si="0"/>
        <v>41</v>
      </c>
      <c r="D17" s="21">
        <f>F17*Assumptions!$B$6+G17*Assumptions!$B$7+H17*Assumptions!$B$8+I17*Assumptions!$B$9</f>
        <v>146868</v>
      </c>
      <c r="F17" s="22">
        <f>F16+Assumptions!$B$12*Assumptions!$B$16</f>
        <v>14</v>
      </c>
      <c r="G17" s="22">
        <f>G16+Assumptions!$B$12*Assumptions!$B$17</f>
        <v>9</v>
      </c>
      <c r="H17" s="22">
        <f>H16+Assumptions!$B$12*Assumptions!$B$18</f>
        <v>9</v>
      </c>
      <c r="I17" s="22">
        <f>I16+Assumptions!$B$12*Assumptions!$B$19</f>
        <v>9</v>
      </c>
    </row>
    <row r="19" spans="1:9" ht="18">
      <c r="A19" s="7" t="s">
        <v>60</v>
      </c>
    </row>
    <row r="20" spans="1:9" ht="15.75">
      <c r="A20" s="4" t="s">
        <v>61</v>
      </c>
      <c r="D20" s="8">
        <f>ROUNDUP(Assumptions!$B$25/((Assumptions!$B$6*Assumptions!$B$16)+(Assumptions!$B$7*Assumptions!$B$17)+(Assumptions!$B$8*Assumptions!$B$18)+(Assumptions!$B$9*Assumptions!$B$19)),0)</f>
        <v>43</v>
      </c>
    </row>
    <row r="21" spans="1:9" ht="15.75">
      <c r="A21" s="4" t="s">
        <v>62</v>
      </c>
      <c r="D21" s="8">
        <f>ROUNDUP((D20-Assumptions!$B$23)/Assumptions!$B$12,0)</f>
        <v>13</v>
      </c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Here</vt:lpstr>
      <vt:lpstr>Assumptions</vt:lpstr>
      <vt:lpstr>Month by Month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Asanetic</cp:lastModifiedBy>
  <cp:revision>0</cp:revision>
  <dcterms:created xsi:type="dcterms:W3CDTF">2026-08-31T01:08:25Z</dcterms:created>
  <dcterms:modified xsi:type="dcterms:W3CDTF">2026-08-31T01:44:30Z</dcterms:modified>
  <dc:language>en-US</dc:language>
</cp:coreProperties>
</file>