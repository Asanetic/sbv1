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ions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<sst xmlns="http://schemas.openxmlformats.org/spreadsheetml/2006/main" count="55" uniqueCount="39">
  <si>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Collections Tracker</t>
  </si>
  <si>
    <t xml:space="preserve">Legend: fill yellow cells only. Status must be Confirmed / Follow-up Needed / At Risk (dropdown).</t>
  </si>
  <si>
    <t xml:space="preserve">#</t>
  </si>
  <si>
    <t xml:space="preserve">Revenue Month</t>
  </si>
  <si>
    <t xml:space="preserve">Contact Name</t>
  </si>
  <si>
    <t xml:space="preserve">Description</t>
  </si>
  <si>
    <t xml:space="preserve">Expected Amount</t>
  </si>
  <si>
    <t xml:space="preserve">Collection Status</t>
  </si>
  <si>
    <t xml:space="preserve">Expected Pay Date</t>
  </si>
  <si>
    <t xml:space="preserve">Payment Status</t>
  </si>
  <si>
    <t xml:space="preserve">Payment Ref No</t>
  </si>
  <si>
    <t xml:space="preserve">Notes / Push Action</t>
  </si>
  <si>
    <t xml:space="preserve">Aug - 2025 charges</t>
  </si>
  <si>
    <t xml:space="preserve">David</t>
  </si>
  <si>
    <t xml:space="preserve">Web maintenance and email restoration</t>
  </si>
  <si>
    <t xml:space="preserve">Follow-up Needed</t>
  </si>
  <si>
    <t xml:space="preserve">Unpaid</t>
  </si>
  <si>
    <t xml:space="preserve">No commitment yet - call to get a firm date</t>
  </si>
  <si>
    <t xml:space="preserve">Mathan</t>
  </si>
  <si>
    <t xml:space="preserve">Makongeni elite</t>
  </si>
  <si>
    <t xml:space="preserve">Lundu</t>
  </si>
  <si>
    <t xml:space="preserve">Loop back hotspot integration</t>
  </si>
  <si>
    <t xml:space="preserve">At Risk</t>
  </si>
  <si>
    <t xml:space="preserve">Project went cold, price never agreed. Previous job was charged 10k - use that as anchor when re-approaching</t>
  </si>
  <si>
    <t xml:space="preserve">Thomas</t>
  </si>
  <si>
    <t xml:space="preserve">Pos printer update</t>
  </si>
  <si>
    <t xml:space="preserve">Timothy</t>
  </si>
  <si>
    <t xml:space="preserve">Server restoration</t>
  </si>
  <si>
    <t xml:space="preserve">Confirmed</t>
  </si>
  <si>
    <t xml:space="preserve">Client committed to paying Tuesday - confirm receipt, escalate immediately if missed</t>
  </si>
  <si>
    <t xml:space="preserve">Raigwa</t>
  </si>
  <si>
    <t xml:space="preserve">Domain and hosting renewal 2026</t>
  </si>
  <si>
    <t xml:space="preserve">TOTAL</t>
  </si>
  <si>
    <t xml:space="preserve">Collection Summary (this sheet)</t>
  </si>
  <si>
    <t xml:space="preserve">Total Invoiced</t>
  </si>
  <si>
    <t xml:space="preserve">Confirmed (expect this month)</t>
  </si>
  <si>
    <t xml:space="preserve">Follow-up Needed (uncertain)</t>
  </si>
  <si>
    <t xml:space="preserve">At Risk (likely to slip / bad debt)</t>
  </si>
  <si>
    <t xml:space="preserve">% of invoiced you can realistically bank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</si>
</sst>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yy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EB9C"/>
        <bgColor rgb="FFFFF9C4"/>
      </patternFill>
    </fill>
    <fill>
      <patternFill patternType="solid">
        <fgColor rgb="FFFFF9C4"/>
        <bgColor rgb="FFFFEB9C"/>
      </patternFill>
    </fill>
    <fill>
      <patternFill patternType="solid">
        <fgColor rgb="FFFFC7CE"/>
        <bgColor rgb="FFD1D5DB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0" hidden="false" customHeight="tru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5" t="n">
        <v>7500</v>
      </c>
      <c r="F5" s="6" t="s">
        <v>15</v>
      </c>
      <c r="G5" s="4"/>
      <c r="H5" s="7" t="s">
        <v>16</v>
      </c>
      <c r="I5" s="7"/>
      <c r="J5" s="4" t="s">
        <v>17</v>
      </c>
    </row>
    <row r="6" customFormat="false" ht="30" hidden="false" customHeight="true" outlineLevel="0" collapsed="false">
      <c r="A6" s="4" t="n">
        <v>2</v>
      </c>
      <c r="B6" s="4" t="s">
        <v>12</v>
      </c>
      <c r="C6" s="4" t="s">
        <v>18</v>
      </c>
      <c r="D6" s="4" t="s">
        <v>19</v>
      </c>
      <c r="E6" s="5" t="n">
        <v>7500</v>
      </c>
      <c r="F6" s="6" t="s">
        <v>15</v>
      </c>
      <c r="G6" s="4"/>
      <c r="H6" s="7" t="s">
        <v>16</v>
      </c>
      <c r="I6" s="7"/>
      <c r="J6" s="4" t="s">
        <v>17</v>
      </c>
    </row>
    <row r="7" customFormat="false" ht="30" hidden="false" customHeight="true" outlineLevel="0" collapsed="false">
      <c r="A7" s="4" t="n">
        <v>3</v>
      </c>
      <c r="B7" s="4" t="s">
        <v>12</v>
      </c>
      <c r="C7" s="4" t="s">
        <v>20</v>
      </c>
      <c r="D7" s="4" t="s">
        <v>21</v>
      </c>
      <c r="E7" s="5" t="n">
        <v>10000</v>
      </c>
      <c r="F7" s="8" t="s">
        <v>22</v>
      </c>
      <c r="G7" s="4"/>
      <c r="H7" s="7" t="s">
        <v>16</v>
      </c>
      <c r="I7" s="7"/>
      <c r="J7" s="4" t="s">
        <v>23</v>
      </c>
    </row>
    <row r="8" customFormat="false" ht="30" hidden="false" customHeight="true" outlineLevel="0" collapsed="false">
      <c r="A8" s="4" t="n">
        <v>4</v>
      </c>
      <c r="B8" s="4" t="s">
        <v>12</v>
      </c>
      <c r="C8" s="4" t="s">
        <v>24</v>
      </c>
      <c r="D8" s="4" t="s">
        <v>25</v>
      </c>
      <c r="E8" s="5" t="n">
        <v>34200</v>
      </c>
      <c r="F8" s="6" t="s">
        <v>15</v>
      </c>
      <c r="G8" s="4"/>
      <c r="H8" s="7" t="s">
        <v>16</v>
      </c>
      <c r="I8" s="7"/>
      <c r="J8" s="4" t="s">
        <v>17</v>
      </c>
    </row>
    <row r="9" customFormat="false" ht="30" hidden="false" customHeight="true" outlineLevel="0" collapsed="false">
      <c r="A9" s="4" t="n">
        <v>5</v>
      </c>
      <c r="B9" s="4" t="s">
        <v>12</v>
      </c>
      <c r="C9" s="4" t="s">
        <v>26</v>
      </c>
      <c r="D9" s="4" t="s">
        <v>27</v>
      </c>
      <c r="E9" s="5" t="n">
        <v>26500</v>
      </c>
      <c r="F9" s="9" t="s">
        <v>28</v>
      </c>
      <c r="G9" s="10" t="n">
        <v>45902</v>
      </c>
      <c r="H9" s="7" t="s">
        <v>16</v>
      </c>
      <c r="I9" s="7"/>
      <c r="J9" s="4" t="s">
        <v>29</v>
      </c>
    </row>
    <row r="10" customFormat="false" ht="30" hidden="false" customHeight="true" outlineLevel="0" collapsed="false">
      <c r="A10" s="4" t="n">
        <v>6</v>
      </c>
      <c r="B10" s="4" t="s">
        <v>12</v>
      </c>
      <c r="C10" s="4" t="s">
        <v>30</v>
      </c>
      <c r="D10" s="4" t="s">
        <v>31</v>
      </c>
      <c r="E10" s="5" t="n">
        <v>13500</v>
      </c>
      <c r="F10" s="6" t="s">
        <v>15</v>
      </c>
      <c r="G10" s="4"/>
      <c r="H10" s="7" t="s">
        <v>16</v>
      </c>
      <c r="I10" s="7"/>
      <c r="J10" s="4" t="s">
        <v>17</v>
      </c>
    </row>
    <row r="11" customFormat="false" ht="15" hidden="false" customHeight="false" outlineLevel="0" collapsed="false">
      <c r="A11" s="11"/>
      <c r="B11" s="11"/>
      <c r="C11" s="11"/>
      <c r="D11" s="12" t="s">
        <v>32</v>
      </c>
      <c r="E11" s="13" t="n">
        <f aca="false">SUM(E5:E10)</f>
        <v>99200</v>
      </c>
      <c r="F11" s="11"/>
      <c r="G11" s="11"/>
      <c r="H11" s="11"/>
      <c r="I11" s="11"/>
      <c r="J11" s="11"/>
    </row>
    <row r="14" customFormat="false" ht="15" hidden="false" customHeight="false" outlineLevel="0" collapsed="false">
      <c r="A14" s="14" t="s">
        <v>33</v>
      </c>
    </row>
    <row r="15" customFormat="false" ht="15" hidden="false" customHeight="false" outlineLevel="0" collapsed="false">
      <c r="A15" s="15" t="s">
        <v>34</v>
      </c>
      <c r="B15" s="16" t="n">
        <f aca="false">SUM(E5:E10)</f>
        <v>99200</v>
      </c>
    </row>
    <row r="16" customFormat="false" ht="15" hidden="false" customHeight="false" outlineLevel="0" collapsed="false">
      <c r="A16" s="15" t="s">
        <v>35</v>
      </c>
      <c r="B16" s="16" t="n">
        <f aca="false">SUMIFS(E5:E10,F5:F10,"Confirmed")</f>
        <v>26500</v>
      </c>
    </row>
    <row r="17" customFormat="false" ht="15" hidden="false" customHeight="false" outlineLevel="0" collapsed="false">
      <c r="A17" s="15" t="s">
        <v>36</v>
      </c>
      <c r="B17" s="16" t="n">
        <f aca="false">SUMIFS(E5:E10,F5:F10,"Follow-up Needed")</f>
        <v>62700</v>
      </c>
    </row>
    <row r="18" customFormat="false" ht="15" hidden="false" customHeight="false" outlineLevel="0" collapsed="false">
      <c r="A18" s="15" t="s">
        <v>37</v>
      </c>
      <c r="B18" s="16" t="n">
        <f aca="false">SUMIFS(E5:E10,F5:F10,"At Risk")</f>
        <v>10000</v>
      </c>
    </row>
    <row r="20" customFormat="false" ht="15" hidden="false" customHeight="false" outlineLevel="0" collapsed="false">
      <c r="A20" s="15" t="s">
        <v>38</v>
      </c>
      <c r="B20" s="17" t="n">
        <f aca="false">B16/B15</f>
        <v>0.267137096774194</v>
      </c>
    </row>
  </sheetData>
  <dataValidations count="2">
    <dataValidation allowBlank="false" errorStyle="stop" operator="between" showDropDown="false" showErrorMessage="false" showInputMessage="false" sqref="F5:F30" type="list">
      <formula1>"Confirmed,Follow-up Needed,At Risk"</formula1>
      <formula2>0</formula2>
    </dataValidation>
    <dataValidation allowBlank="false" errorStyle="stop" operator="between" showDropDown="false" showErrorMessage="false" showInputMessage="false" sqref="H5:H30" type="list">
      <formula1>"Paid,Unpaid,Partial"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2026-08-29T07:19:58Z</dcterms:created>
  <dc:creator>openpyxl</dc:creator>
  <dc:description/>
  <dc:language>en-US</dc:language>
  <cp:lastModifiedBy/>
  <dcterms:modified xsi:type="dcterms:W3CDTF">2026-08-29T07:19:58Z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