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<sst xmlns="http://schemas.openxmlformats.org/spreadsheetml/2006/main" count="85" uniqueCount="47">
  <si>
    <t xml:space="preserve">Plan Month</t>
  </si>
  <si>
    <t xml:space="preserve">Name</t>
  </si>
  <si>
    <t xml:space="preserve">Expected Customers</t>
  </si>
  <si>
    <t xml:space="preserve">Tag</t>
  </si>
  <si>
    <t xml:space="preserve">Average Deal Amount</t>
  </si>
  <si>
    <t xml:space="preserve">Expected Amt</t>
  </si>
  <si>
    <t xml:space="preserve">Actual Earnings</t>
  </si>
  <si>
    <t xml:space="preserve">Variance</t>
  </si>
  <si>
    <t xml:space="preserve">Status</t>
  </si>
  <si>
    <t xml:space="preserve">Notes</t>
  </si>
  <si>
    <t xml:space="preserve">Confidence %</t>
  </si>
  <si>
    <t xml:space="preserve">Weighted Forecast (KES)</t>
  </si>
  <si>
    <t xml:space="preserve">Sept - 2026</t>
  </si>
  <si>
    <t xml:space="preserve">Content Care Plan Bronze</t>
  </si>
  <si>
    <t xml:space="preserve">Monthly - reccurring</t>
  </si>
  <si>
    <t xml:space="preserve">Complete</t>
  </si>
  <si>
    <t xml:space="preserve">Trufinds kargo web content marketing</t>
  </si>
  <si>
    <t xml:space="preserve">Custom SaaS/Software Build</t>
  </si>
  <si>
    <t xml:space="preserve">one-time</t>
  </si>
  <si>
    <t xml:space="preserve">Finish POS Restaurant pricing and menu builder platform</t>
  </si>
  <si>
    <t xml:space="preserve">Shrews bury software dev for real estate construction</t>
  </si>
  <si>
    <t xml:space="preserve">Website Maintenance Retainer</t>
  </si>
  <si>
    <t xml:space="preserve">Octane Obit Platform — Ongoing Development, Infrastructure &amp;...</t>
  </si>
  <si>
    <t xml:space="preserve">Saas Onboarding</t>
  </si>
  <si>
    <t xml:space="preserve">Pending</t>
  </si>
  <si>
    <t xml:space="preserve">Inquire from paul</t>
  </si>
  <si>
    <t xml:space="preserve">POS Setup &amp; eTIMS Fiscalization</t>
  </si>
  <si>
    <t xml:space="preserve">Content Care Plan Lite</t>
  </si>
  <si>
    <t xml:space="preserve">Makongeni elite</t>
  </si>
  <si>
    <t xml:space="preserve">Shrews bury ltd</t>
  </si>
  <si>
    <t xml:space="preserve">Infolink college</t>
  </si>
  <si>
    <t xml:space="preserve">Money wit</t>
  </si>
  <si>
    <t xml:space="preserve">Server Restoration / Emergency Fix</t>
  </si>
  <si>
    <t xml:space="preserve">right way driving</t>
  </si>
  <si>
    <t xml:space="preserve">—</t>
  </si>
  <si>
    <t xml:space="preserve">Realistic September Forecast</t>
  </si>
  <si>
    <t xml:space="preserve">Total 'Expected Amt' on paper (all rows, no discount)</t>
  </si>
  <si>
    <t xml:space="preserve">Actually collected so far</t>
  </si>
  <si>
    <t xml:space="preserve">Confidence-weighted realistic forecast</t>
  </si>
  <si>
    <t xml:space="preserve">Your September goal</t>
  </si>
  <si>
    <t xml:space="preserve">Realistic gap vs goal</t>
  </si>
  <si>
    <t xml:space="preserve">The real issue this month:</t>
  </si>
  <si>
    <t xml:space="preserve">•  KES 141,700 of work is marked 'Complete' but Actual Earnings shows KES 0 for four of those five jobs (Trufinds, POS Restaurant build, Shrewsbury dev, Octane Orbit). Only Makongeni's 2,500 is actually in hand.</t>
  </si>
  <si>
    <t xml:space="preserve">•  The 223,700 'Expected Amt' total looks strong on paper, but it mixes delivered-and-unpaid work with cold inquiries at equal weight — that's why it isn't a realistic forecast on its own.</t>
  </si>
  <si>
    <t xml:space="preserve">•  Collecting on the 4 completed-but-unpaid jobs is worth more than closing any new deal this month — it's money you've already earned, just not invoiced/chased yet.</t>
  </si>
  <si>
    <t xml:space="preserve">•  'Saas Onboarding' and 'POS Setup' (both from Paul) are still at inquiry stage — don't count on this 59,000 until there's a firmer commitment.</t>
  </si>
  <si>
    <t xml:space="preserve">•  Two rows are miscategorized: 'POS Setup &amp; eTIMS' is tagged 'Monthly - reccurring' but POS setup is normally a one-time fee — check if this should be split into a one-time setup + separate recurring support line. 'Website Maintenance Retainer' (the 70K Octane Orbit row) is tagged 'one-time' but the name says retainer — worth renaming to 'Custom SaaS/Software Build' since the note describes ongoing dev work, not a maintenance retainer.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</si>
</sst>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&quot;KES &quot;#,##0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2"/>
      <color rgb="FF0000FF"/>
      <name val="Calibri"/>
      <family val="0"/>
      <charset val="1"/>
    </font>
    <font>
      <sz val="12"/>
      <name val="Calibri"/>
      <family val="0"/>
      <charset val="1"/>
    </font>
    <font>
      <b val="true"/>
      <sz val="12"/>
      <name val="Calibri"/>
      <family val="0"/>
      <charset val="1"/>
    </font>
    <font>
      <i val="true"/>
      <sz val="10"/>
      <color rgb="FF66666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4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0" min="1" style="0" width="20.84"/>
    <col collapsed="false" customWidth="true" hidden="false" outlineLevel="0" max="11" min="11" style="0" width="13"/>
    <col collapsed="false" customWidth="true" hidden="false" outlineLevel="0" max="12" min="12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1</v>
      </c>
      <c r="D2" s="0" t="s">
        <v>14</v>
      </c>
      <c r="E2" s="0" t="n">
        <v>4500</v>
      </c>
      <c r="F2" s="0" t="n">
        <v>4500</v>
      </c>
      <c r="G2" s="2" t="n">
        <v>0</v>
      </c>
      <c r="H2" s="0" t="n">
        <v>0</v>
      </c>
      <c r="I2" s="2" t="s">
        <v>15</v>
      </c>
      <c r="J2" s="3" t="s">
        <v>16</v>
      </c>
      <c r="K2" s="4" t="n">
        <v>1</v>
      </c>
      <c r="L2" s="5" t="n">
        <f aca="false">F2*K2</f>
        <v>4500</v>
      </c>
    </row>
    <row r="3" customFormat="false" ht="15" hidden="false" customHeight="false" outlineLevel="0" collapsed="false">
      <c r="A3" s="0" t="s">
        <v>12</v>
      </c>
      <c r="B3" s="0" t="s">
        <v>17</v>
      </c>
      <c r="C3" s="0" t="n">
        <v>1</v>
      </c>
      <c r="D3" s="0" t="s">
        <v>18</v>
      </c>
      <c r="E3" s="0" t="n">
        <v>17200</v>
      </c>
      <c r="F3" s="0" t="n">
        <v>17200</v>
      </c>
      <c r="G3" s="2" t="n">
        <v>0</v>
      </c>
      <c r="H3" s="0" t="n">
        <v>0</v>
      </c>
      <c r="I3" s="2" t="s">
        <v>15</v>
      </c>
      <c r="J3" s="3" t="s">
        <v>19</v>
      </c>
      <c r="K3" s="4" t="n">
        <v>0.7</v>
      </c>
      <c r="L3" s="5" t="n">
        <f aca="false">F3*K3</f>
        <v>12040</v>
      </c>
    </row>
    <row r="4" customFormat="false" ht="15" hidden="false" customHeight="false" outlineLevel="0" collapsed="false">
      <c r="A4" s="0" t="s">
        <v>12</v>
      </c>
      <c r="B4" s="0" t="s">
        <v>17</v>
      </c>
      <c r="C4" s="0" t="n">
        <v>1</v>
      </c>
      <c r="D4" s="0" t="s">
        <v>18</v>
      </c>
      <c r="E4" s="0" t="n">
        <v>50000</v>
      </c>
      <c r="F4" s="0" t="n">
        <v>50000</v>
      </c>
      <c r="G4" s="2" t="n">
        <v>0</v>
      </c>
      <c r="H4" s="0" t="n">
        <v>0</v>
      </c>
      <c r="I4" s="2" t="s">
        <v>15</v>
      </c>
      <c r="J4" s="3" t="s">
        <v>20</v>
      </c>
      <c r="K4" s="4" t="n">
        <v>0.7</v>
      </c>
      <c r="L4" s="5" t="n">
        <f aca="false">F4*K4</f>
        <v>35000</v>
      </c>
    </row>
    <row r="5" customFormat="false" ht="15" hidden="false" customHeight="false" outlineLevel="0" collapsed="false">
      <c r="A5" s="0" t="s">
        <v>12</v>
      </c>
      <c r="B5" s="0" t="s">
        <v>21</v>
      </c>
      <c r="C5" s="0" t="n">
        <v>1</v>
      </c>
      <c r="D5" s="0" t="s">
        <v>18</v>
      </c>
      <c r="E5" s="0" t="n">
        <v>70000</v>
      </c>
      <c r="F5" s="0" t="n">
        <v>70000</v>
      </c>
      <c r="G5" s="2" t="n">
        <v>0</v>
      </c>
      <c r="H5" s="0" t="n">
        <v>0</v>
      </c>
      <c r="I5" s="2" t="s">
        <v>15</v>
      </c>
      <c r="J5" s="3" t="s">
        <v>22</v>
      </c>
      <c r="K5" s="4" t="n">
        <v>0.7</v>
      </c>
      <c r="L5" s="5" t="n">
        <f aca="false">F5*K5</f>
        <v>49000</v>
      </c>
    </row>
    <row r="6" customFormat="false" ht="15" hidden="false" customHeight="false" outlineLevel="0" collapsed="false">
      <c r="A6" s="0" t="s">
        <v>12</v>
      </c>
      <c r="B6" s="0" t="s">
        <v>23</v>
      </c>
      <c r="C6" s="0" t="n">
        <v>2</v>
      </c>
      <c r="D6" s="0" t="s">
        <v>18</v>
      </c>
      <c r="E6" s="0" t="n">
        <v>25000</v>
      </c>
      <c r="F6" s="0" t="n">
        <v>50000</v>
      </c>
      <c r="G6" s="0" t="n">
        <v>0</v>
      </c>
      <c r="H6" s="0" t="n">
        <v>0</v>
      </c>
      <c r="I6" s="0" t="s">
        <v>24</v>
      </c>
      <c r="J6" s="0" t="s">
        <v>25</v>
      </c>
      <c r="K6" s="4" t="n">
        <v>0.2</v>
      </c>
      <c r="L6" s="5" t="n">
        <f aca="false">F6*K6</f>
        <v>10000</v>
      </c>
    </row>
    <row r="7" customFormat="false" ht="15" hidden="false" customHeight="false" outlineLevel="0" collapsed="false">
      <c r="A7" s="0" t="s">
        <v>12</v>
      </c>
      <c r="B7" s="0" t="s">
        <v>26</v>
      </c>
      <c r="C7" s="0" t="n">
        <v>2</v>
      </c>
      <c r="D7" s="0" t="s">
        <v>14</v>
      </c>
      <c r="E7" s="0" t="n">
        <v>4500</v>
      </c>
      <c r="F7" s="0" t="n">
        <v>9000</v>
      </c>
      <c r="G7" s="0" t="n">
        <v>0</v>
      </c>
      <c r="H7" s="0" t="n">
        <v>0</v>
      </c>
      <c r="I7" s="0" t="s">
        <v>24</v>
      </c>
      <c r="J7" s="0" t="s">
        <v>25</v>
      </c>
      <c r="K7" s="4" t="n">
        <v>0.2</v>
      </c>
      <c r="L7" s="5" t="n">
        <f aca="false">F7*K7</f>
        <v>1800</v>
      </c>
    </row>
    <row r="8" customFormat="false" ht="15" hidden="false" customHeight="false" outlineLevel="0" collapsed="false">
      <c r="A8" s="0" t="s">
        <v>12</v>
      </c>
      <c r="B8" s="0" t="s">
        <v>27</v>
      </c>
      <c r="C8" s="0" t="n">
        <v>1</v>
      </c>
      <c r="D8" s="0" t="s">
        <v>14</v>
      </c>
      <c r="E8" s="0" t="n">
        <v>2500</v>
      </c>
      <c r="F8" s="0" t="n">
        <v>2500</v>
      </c>
      <c r="G8" s="0" t="n">
        <v>2500</v>
      </c>
      <c r="H8" s="0" t="n">
        <v>0</v>
      </c>
      <c r="I8" s="0" t="s">
        <v>15</v>
      </c>
      <c r="J8" s="0" t="s">
        <v>28</v>
      </c>
      <c r="K8" s="4" t="n">
        <v>1</v>
      </c>
      <c r="L8" s="5" t="n">
        <f aca="false">F8*K8</f>
        <v>2500</v>
      </c>
    </row>
    <row r="9" customFormat="false" ht="15" hidden="false" customHeight="false" outlineLevel="0" collapsed="false">
      <c r="A9" s="0" t="s">
        <v>12</v>
      </c>
      <c r="B9" s="0" t="s">
        <v>13</v>
      </c>
      <c r="C9" s="0" t="n">
        <v>1</v>
      </c>
      <c r="D9" s="0" t="s">
        <v>14</v>
      </c>
      <c r="E9" s="0" t="n">
        <v>5500</v>
      </c>
      <c r="F9" s="0" t="n">
        <v>5500</v>
      </c>
      <c r="G9" s="0" t="n">
        <v>0</v>
      </c>
      <c r="H9" s="0" t="n">
        <v>0</v>
      </c>
      <c r="I9" s="0" t="s">
        <v>24</v>
      </c>
      <c r="J9" s="0" t="s">
        <v>29</v>
      </c>
      <c r="K9" s="4" t="n">
        <v>0.6</v>
      </c>
      <c r="L9" s="5" t="n">
        <f aca="false">F9*K9</f>
        <v>3300</v>
      </c>
    </row>
    <row r="10" customFormat="false" ht="15" hidden="false" customHeight="false" outlineLevel="0" collapsed="false">
      <c r="A10" s="0" t="s">
        <v>12</v>
      </c>
      <c r="B10" s="0" t="s">
        <v>13</v>
      </c>
      <c r="C10" s="0" t="n">
        <v>1</v>
      </c>
      <c r="D10" s="0" t="s">
        <v>14</v>
      </c>
      <c r="E10" s="0" t="n">
        <v>5500</v>
      </c>
      <c r="F10" s="0" t="n">
        <v>5500</v>
      </c>
      <c r="G10" s="0" t="n">
        <v>0</v>
      </c>
      <c r="H10" s="0" t="n">
        <v>0</v>
      </c>
      <c r="I10" s="0" t="s">
        <v>24</v>
      </c>
      <c r="J10" s="0" t="s">
        <v>30</v>
      </c>
      <c r="K10" s="4" t="n">
        <v>0.6</v>
      </c>
      <c r="L10" s="5" t="n">
        <f aca="false">F10*K10</f>
        <v>3300</v>
      </c>
    </row>
    <row r="11" customFormat="false" ht="15" hidden="false" customHeight="false" outlineLevel="0" collapsed="false">
      <c r="A11" s="0" t="s">
        <v>12</v>
      </c>
      <c r="B11" s="0" t="s">
        <v>27</v>
      </c>
      <c r="C11" s="0" t="n">
        <v>1</v>
      </c>
      <c r="D11" s="0" t="s">
        <v>14</v>
      </c>
      <c r="E11" s="0" t="n">
        <v>3500</v>
      </c>
      <c r="F11" s="0" t="n">
        <v>3500</v>
      </c>
      <c r="G11" s="0" t="n">
        <v>0</v>
      </c>
      <c r="H11" s="0" t="n">
        <v>0</v>
      </c>
      <c r="I11" s="0" t="s">
        <v>24</v>
      </c>
      <c r="J11" s="0" t="s">
        <v>31</v>
      </c>
      <c r="K11" s="4" t="n">
        <v>0.5</v>
      </c>
      <c r="L11" s="5" t="n">
        <f aca="false">F11*K11</f>
        <v>1750</v>
      </c>
    </row>
    <row r="12" customFormat="false" ht="15" hidden="false" customHeight="false" outlineLevel="0" collapsed="false">
      <c r="A12" s="0" t="s">
        <v>12</v>
      </c>
      <c r="B12" s="0" t="s">
        <v>32</v>
      </c>
      <c r="C12" s="0" t="n">
        <v>1</v>
      </c>
      <c r="D12" s="0" t="s">
        <v>18</v>
      </c>
      <c r="E12" s="0" t="n">
        <v>2500</v>
      </c>
      <c r="F12" s="0" t="n">
        <v>2500</v>
      </c>
      <c r="G12" s="0" t="n">
        <v>0</v>
      </c>
      <c r="H12" s="0" t="n">
        <v>0</v>
      </c>
      <c r="I12" s="0" t="s">
        <v>24</v>
      </c>
      <c r="J12" s="0" t="s">
        <v>31</v>
      </c>
      <c r="K12" s="4" t="n">
        <v>0.5</v>
      </c>
      <c r="L12" s="5" t="n">
        <f aca="false">F12*K12</f>
        <v>1250</v>
      </c>
    </row>
    <row r="13" customFormat="false" ht="15" hidden="false" customHeight="false" outlineLevel="0" collapsed="false">
      <c r="A13" s="0" t="s">
        <v>12</v>
      </c>
      <c r="B13" s="0" t="s">
        <v>27</v>
      </c>
      <c r="C13" s="0" t="n">
        <v>1</v>
      </c>
      <c r="D13" s="0" t="s">
        <v>14</v>
      </c>
      <c r="E13" s="0" t="n">
        <v>3500</v>
      </c>
      <c r="F13" s="0" t="n">
        <v>3500</v>
      </c>
      <c r="G13" s="0" t="n">
        <v>0</v>
      </c>
      <c r="H13" s="0" t="n">
        <v>0</v>
      </c>
      <c r="I13" s="0" t="s">
        <v>24</v>
      </c>
      <c r="J13" s="0" t="s">
        <v>33</v>
      </c>
      <c r="K13" s="4" t="n">
        <v>0.5</v>
      </c>
      <c r="L13" s="5" t="n">
        <f aca="false">F13*K13</f>
        <v>1750</v>
      </c>
    </row>
    <row r="14" customFormat="false" ht="15" hidden="false" customHeight="false" outlineLevel="0" collapsed="false">
      <c r="C14" s="0" t="n">
        <v>14</v>
      </c>
      <c r="E14" s="0" t="n">
        <v>194200</v>
      </c>
      <c r="F14" s="0" t="n">
        <v>223700</v>
      </c>
      <c r="G14" s="0" t="n">
        <v>2500</v>
      </c>
      <c r="H14" s="0" t="n">
        <v>0</v>
      </c>
      <c r="K14" s="0" t="s">
        <v>34</v>
      </c>
      <c r="L14" s="6" t="n">
        <f aca="false">SUM(L2:L13)</f>
        <v>126190</v>
      </c>
    </row>
    <row r="16" customFormat="false" ht="15" hidden="false" customHeight="false" outlineLevel="0" collapsed="false">
      <c r="A16" s="7" t="s">
        <v>35</v>
      </c>
    </row>
    <row r="17" customFormat="false" ht="15" hidden="false" customHeight="false" outlineLevel="0" collapsed="false">
      <c r="A17" s="0" t="s">
        <v>36</v>
      </c>
      <c r="B17" s="6" t="n">
        <f aca="false">F14</f>
        <v>223700</v>
      </c>
    </row>
    <row r="18" customFormat="false" ht="15" hidden="false" customHeight="false" outlineLevel="0" collapsed="false">
      <c r="A18" s="0" t="s">
        <v>37</v>
      </c>
      <c r="B18" s="6" t="n">
        <f aca="false">G14</f>
        <v>2500</v>
      </c>
    </row>
    <row r="19" customFormat="false" ht="15" hidden="false" customHeight="false" outlineLevel="0" collapsed="false">
      <c r="A19" s="0" t="s">
        <v>38</v>
      </c>
      <c r="B19" s="8" t="n">
        <f aca="false">L14</f>
        <v>126190</v>
      </c>
    </row>
    <row r="20" customFormat="false" ht="15" hidden="false" customHeight="false" outlineLevel="0" collapsed="false">
      <c r="A20" s="0" t="s">
        <v>39</v>
      </c>
      <c r="B20" s="6" t="n">
        <v>150000</v>
      </c>
    </row>
    <row r="21" customFormat="false" ht="15" hidden="false" customHeight="false" outlineLevel="0" collapsed="false">
      <c r="A21" s="0" t="s">
        <v>40</v>
      </c>
      <c r="B21" s="6" t="n">
        <f aca="false">B19-B20</f>
        <v>-23810</v>
      </c>
    </row>
    <row r="23" customFormat="false" ht="15" hidden="false" customHeight="false" outlineLevel="0" collapsed="false">
      <c r="A23" s="7" t="s">
        <v>41</v>
      </c>
    </row>
    <row r="24" customFormat="false" ht="15" hidden="false" customHeight="false" outlineLevel="0" collapsed="false">
      <c r="A24" s="9" t="s">
        <v>42</v>
      </c>
      <c r="B24" s="9"/>
      <c r="C24" s="9"/>
      <c r="D24" s="9"/>
      <c r="E24" s="9"/>
      <c r="F24" s="9"/>
      <c r="G24" s="9"/>
      <c r="H24" s="9"/>
      <c r="I24" s="9"/>
      <c r="J24" s="9"/>
    </row>
    <row r="25" customFormat="false" ht="15" hidden="false" customHeight="false" outlineLevel="0" collapsed="false">
      <c r="A25" s="9" t="s">
        <v>43</v>
      </c>
      <c r="B25" s="9"/>
      <c r="C25" s="9"/>
      <c r="D25" s="9"/>
      <c r="E25" s="9"/>
      <c r="F25" s="9"/>
      <c r="G25" s="9"/>
      <c r="H25" s="9"/>
      <c r="I25" s="9"/>
      <c r="J25" s="9"/>
    </row>
    <row r="26" customFormat="false" ht="15" hidden="false" customHeight="false" outlineLevel="0" collapsed="false">
      <c r="A26" s="9" t="s">
        <v>44</v>
      </c>
      <c r="B26" s="9"/>
      <c r="C26" s="9"/>
      <c r="D26" s="9"/>
      <c r="E26" s="9"/>
      <c r="F26" s="9"/>
      <c r="G26" s="9"/>
      <c r="H26" s="9"/>
      <c r="I26" s="9"/>
      <c r="J26" s="9"/>
    </row>
    <row r="27" customFormat="false" ht="15" hidden="false" customHeight="false" outlineLevel="0" collapsed="false">
      <c r="A27" s="9" t="s">
        <v>45</v>
      </c>
      <c r="B27" s="9"/>
      <c r="C27" s="9"/>
      <c r="D27" s="9"/>
      <c r="E27" s="9"/>
      <c r="F27" s="9"/>
      <c r="G27" s="9"/>
      <c r="H27" s="9"/>
      <c r="I27" s="9"/>
      <c r="J27" s="9"/>
    </row>
    <row r="28" customFormat="false" ht="15" hidden="false" customHeight="false" outlineLevel="0" collapsed="false">
      <c r="A28" s="9" t="s">
        <v>46</v>
      </c>
      <c r="B28" s="9"/>
      <c r="C28" s="9"/>
      <c r="D28" s="9"/>
      <c r="E28" s="9"/>
      <c r="F28" s="9"/>
      <c r="G28" s="9"/>
      <c r="H28" s="9"/>
      <c r="I28" s="9"/>
      <c r="J28" s="9"/>
    </row>
  </sheetData>
  <mergeCells count="5">
    <mergeCell ref="A24:J24"/>
    <mergeCell ref="A25:J25"/>
    <mergeCell ref="A26:J26"/>
    <mergeCell ref="A27:J27"/>
    <mergeCell ref="A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2026-08-31T03:16:09Z</dcterms:created>
  <dc:creator>openpyxl</dc:creator>
  <dc:description/>
  <dc:language>en-US</dc:language>
  <cp:lastModifiedBy/>
  <dcterms:modified xsi:type="dcterms:W3CDTF">2026-08-31T03:16:09Z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