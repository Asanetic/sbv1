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Sheet 1" sheetId="1" r:id="rId1"/>
  </sheets>
  <calcPr calcId="12451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5" i="1"/>
  <c r="B24"/>
  <c r="B26" s="1"/>
  <c r="C21"/>
  <c r="B21"/>
  <c r="D20"/>
  <c r="D19"/>
</calcChain>
</file>

<file path=xl/sharedStrings.xml><?xml version="1.0" encoding="utf-8"?>
<sst xmlns="http://schemas.openxmlformats.org/spreadsheetml/2006/main" count="96" uniqueCount="52">
  <si>
    <t>Plan Month</t>
  </si>
  <si>
    <t>Name</t>
  </si>
  <si>
    <t>Expected Customers</t>
  </si>
  <si>
    <t>Tag</t>
  </si>
  <si>
    <t>Average Deal Amount</t>
  </si>
  <si>
    <t>Expected Amt</t>
  </si>
  <si>
    <t>Actual Earnings</t>
  </si>
  <si>
    <t>Variance</t>
  </si>
  <si>
    <t>Status</t>
  </si>
  <si>
    <t>Notes</t>
  </si>
  <si>
    <t>Sept - 2026</t>
  </si>
  <si>
    <t>Capital Gains</t>
  </si>
  <si>
    <t>Monthly - Capital gains</t>
  </si>
  <si>
    <t>Complete</t>
  </si>
  <si>
    <t>MMF - 2 Capital of 10k</t>
  </si>
  <si>
    <t>MMF Capital of 100k</t>
  </si>
  <si>
    <t>Content Care Plan Bronze</t>
  </si>
  <si>
    <t>Monthly - reccurring</t>
  </si>
  <si>
    <t>Trufinds kargo web content marketing</t>
  </si>
  <si>
    <t>Custom SaaS/Software Build</t>
  </si>
  <si>
    <t>one-time</t>
  </si>
  <si>
    <t>Finish POS Restaurant pricing and menu builder platform</t>
  </si>
  <si>
    <t>Shrews bury software dev for real estate construction</t>
  </si>
  <si>
    <t>Website Maintenance Retainer</t>
  </si>
  <si>
    <t>Octane Obit Platform — Ongoing Development, Infrastructure &amp;...</t>
  </si>
  <si>
    <t>Saas Onboarding</t>
  </si>
  <si>
    <t>Pending</t>
  </si>
  <si>
    <t>Inquire from paul</t>
  </si>
  <si>
    <t>POS Setup &amp; eTIMS Fiscalization</t>
  </si>
  <si>
    <t>Content Care Plan Lite</t>
  </si>
  <si>
    <t>Makongeni elite</t>
  </si>
  <si>
    <t>Shrews bury ltd</t>
  </si>
  <si>
    <t>Infolink college</t>
  </si>
  <si>
    <t>Money wit</t>
  </si>
  <si>
    <t>Server Restoration / Emergency Fix</t>
  </si>
  <si>
    <t>right way driving</t>
  </si>
  <si>
    <t>MMF / Passive Income Breakdown</t>
  </si>
  <si>
    <t>Fund</t>
  </si>
  <si>
    <t>Capital</t>
  </si>
  <si>
    <t>Monthly Gain</t>
  </si>
  <si>
    <t>Implied Annual Yield</t>
  </si>
  <si>
    <t>MMF - 2</t>
  </si>
  <si>
    <t>MMF - 1 (original)</t>
  </si>
  <si>
    <t>Total MMF Capital / Monthly Gain</t>
  </si>
  <si>
    <t>Business Revenue vs Passive Income (auto-updates — pulls by Tag, not row position)</t>
  </si>
  <si>
    <t>Business Revenue (all rows tagged other than 'Monthly - Capital gains')</t>
  </si>
  <si>
    <t>Passive Income (all rows tagged 'Monthly - Capital gains')</t>
  </si>
  <si>
    <t>Total household/personal income (business + passive)</t>
  </si>
  <si>
    <t>Notes:</t>
  </si>
  <si>
    <t>•  Business Revenue and Passive Income totals now use SUMIF on the Tag column — add more MMF rows (or more client rows) any time and both totals stay correct automatically, no formula edits needed.</t>
  </si>
  <si>
    <t>•  Both MMF funds are running close to a 12% annualized implied yield — solid for the current Kenyan MMF market (industry average is closer to 9%, top funds run 12-13%). Worth naming the actual providers here once you've picked them, so you can track real vs implied yield over time.</t>
  </si>
  <si>
    <t>•  Distributing capital across funds is a sound move for liquidity and risk — just don't let it fragment your tracking. Keep every fund as its own row above so the blended total stays visible in one place.</t>
  </si>
</sst>
</file>

<file path=xl/styles.xml><?xml version="1.0" encoding="utf-8"?>
<styleSheet xmlns="http://schemas.openxmlformats.org/spreadsheetml/2006/main">
  <numFmts count="2">
    <numFmt numFmtId="164" formatCode="&quot;KES &quot;#,##0"/>
    <numFmt numFmtId="165" formatCode="0.0%"/>
  </numFmts>
  <fonts count="5">
    <font>
      <sz val="12"/>
      <color theme="1"/>
      <name val="Calibri"/>
      <family val="2"/>
      <charset val="1"/>
    </font>
    <font>
      <b/>
      <sz val="12"/>
      <name val="Calibri"/>
      <charset val="1"/>
    </font>
    <font>
      <b/>
      <sz val="11"/>
      <color rgb="FFFFFFFF"/>
      <name val="Calibri"/>
      <charset val="1"/>
    </font>
    <font>
      <sz val="12"/>
      <name val="Calibri"/>
      <charset val="1"/>
    </font>
    <font>
      <i/>
      <sz val="10"/>
      <color rgb="FF666666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1F497D"/>
        <bgColor rgb="FF003366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Border="1" applyAlignment="1"/>
    <xf numFmtId="0" fontId="0" fillId="0" borderId="0" xfId="0" applyAlignment="1"/>
    <xf numFmtId="0" fontId="0" fillId="2" borderId="0" xfId="0" applyFont="1" applyFill="1" applyAlignment="1"/>
    <xf numFmtId="0" fontId="1" fillId="0" borderId="0" xfId="0" applyFont="1" applyAlignment="1"/>
    <xf numFmtId="0" fontId="2" fillId="3" borderId="1" xfId="0" applyFont="1" applyFill="1" applyBorder="1" applyAlignment="1"/>
    <xf numFmtId="0" fontId="3" fillId="0" borderId="1" xfId="0" applyFont="1" applyBorder="1" applyAlignment="1"/>
    <xf numFmtId="164" fontId="3" fillId="0" borderId="1" xfId="0" applyNumberFormat="1" applyFont="1" applyBorder="1" applyAlignment="1"/>
    <xf numFmtId="165" fontId="3" fillId="0" borderId="1" xfId="0" applyNumberFormat="1" applyFont="1" applyBorder="1" applyAlignment="1"/>
    <xf numFmtId="164" fontId="1" fillId="0" borderId="0" xfId="0" applyNumberFormat="1" applyFont="1" applyAlignment="1"/>
    <xf numFmtId="164" fontId="1" fillId="4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>
      <selection activeCell="E2" sqref="E2"/>
    </sheetView>
  </sheetViews>
  <sheetFormatPr defaultColWidth="8.625" defaultRowHeight="15.75"/>
  <cols>
    <col min="1" max="10" width="20.875" style="2" customWidth="1"/>
  </cols>
  <sheetData>
    <row r="1" spans="1:10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customHeight="1">
      <c r="A2" s="2" t="s">
        <v>10</v>
      </c>
      <c r="B2" s="3" t="s">
        <v>11</v>
      </c>
      <c r="C2" s="2">
        <v>1</v>
      </c>
      <c r="D2" s="3" t="s">
        <v>12</v>
      </c>
      <c r="E2" s="2">
        <v>100</v>
      </c>
      <c r="F2" s="2">
        <v>100</v>
      </c>
      <c r="G2" s="2">
        <v>0</v>
      </c>
      <c r="H2" s="2">
        <v>0</v>
      </c>
      <c r="I2" s="3" t="s">
        <v>13</v>
      </c>
      <c r="J2" s="2" t="s">
        <v>14</v>
      </c>
    </row>
    <row r="3" spans="1:10" ht="15" customHeight="1">
      <c r="A3" s="2" t="s">
        <v>10</v>
      </c>
      <c r="B3" s="3" t="s">
        <v>11</v>
      </c>
      <c r="C3" s="2">
        <v>1</v>
      </c>
      <c r="D3" s="3" t="s">
        <v>12</v>
      </c>
      <c r="E3" s="2">
        <v>1000</v>
      </c>
      <c r="F3" s="2">
        <v>1000</v>
      </c>
      <c r="G3" s="2">
        <v>0</v>
      </c>
      <c r="H3" s="2">
        <v>0</v>
      </c>
      <c r="I3" s="3" t="s">
        <v>13</v>
      </c>
      <c r="J3" s="2" t="s">
        <v>15</v>
      </c>
    </row>
    <row r="4" spans="1:10" ht="15" customHeight="1">
      <c r="A4" s="2" t="s">
        <v>10</v>
      </c>
      <c r="B4" s="2" t="s">
        <v>16</v>
      </c>
      <c r="C4" s="2">
        <v>1</v>
      </c>
      <c r="D4" s="2" t="s">
        <v>17</v>
      </c>
      <c r="E4" s="2">
        <v>4500</v>
      </c>
      <c r="F4" s="2">
        <v>4500</v>
      </c>
      <c r="G4" s="2">
        <v>0</v>
      </c>
      <c r="H4" s="2">
        <v>0</v>
      </c>
      <c r="I4" s="2" t="s">
        <v>13</v>
      </c>
      <c r="J4" s="2" t="s">
        <v>18</v>
      </c>
    </row>
    <row r="5" spans="1:10" ht="15" customHeight="1">
      <c r="A5" s="2" t="s">
        <v>10</v>
      </c>
      <c r="B5" s="2" t="s">
        <v>19</v>
      </c>
      <c r="C5" s="2">
        <v>1</v>
      </c>
      <c r="D5" s="2" t="s">
        <v>20</v>
      </c>
      <c r="E5" s="2">
        <v>17200</v>
      </c>
      <c r="F5" s="2">
        <v>17200</v>
      </c>
      <c r="G5" s="2">
        <v>0</v>
      </c>
      <c r="H5" s="2">
        <v>0</v>
      </c>
      <c r="I5" s="2" t="s">
        <v>13</v>
      </c>
      <c r="J5" s="2" t="s">
        <v>21</v>
      </c>
    </row>
    <row r="6" spans="1:10" ht="15" customHeight="1">
      <c r="A6" s="2" t="s">
        <v>10</v>
      </c>
      <c r="B6" s="2" t="s">
        <v>19</v>
      </c>
      <c r="C6" s="2">
        <v>1</v>
      </c>
      <c r="D6" s="2" t="s">
        <v>20</v>
      </c>
      <c r="E6" s="2">
        <v>50000</v>
      </c>
      <c r="F6" s="2">
        <v>50000</v>
      </c>
      <c r="G6" s="2">
        <v>0</v>
      </c>
      <c r="H6" s="2">
        <v>0</v>
      </c>
      <c r="I6" s="2" t="s">
        <v>13</v>
      </c>
      <c r="J6" s="2" t="s">
        <v>22</v>
      </c>
    </row>
    <row r="7" spans="1:10" ht="15" customHeight="1">
      <c r="A7" s="2" t="s">
        <v>10</v>
      </c>
      <c r="B7" s="2" t="s">
        <v>23</v>
      </c>
      <c r="C7" s="2">
        <v>1</v>
      </c>
      <c r="D7" s="2" t="s">
        <v>20</v>
      </c>
      <c r="E7" s="2">
        <v>70000</v>
      </c>
      <c r="F7" s="2">
        <v>70000</v>
      </c>
      <c r="G7" s="2">
        <v>0</v>
      </c>
      <c r="H7" s="2">
        <v>0</v>
      </c>
      <c r="I7" s="2" t="s">
        <v>13</v>
      </c>
      <c r="J7" s="2" t="s">
        <v>24</v>
      </c>
    </row>
    <row r="8" spans="1:10" ht="15" customHeight="1">
      <c r="A8" s="2" t="s">
        <v>10</v>
      </c>
      <c r="B8" s="2" t="s">
        <v>25</v>
      </c>
      <c r="C8" s="2">
        <v>2</v>
      </c>
      <c r="D8" s="2" t="s">
        <v>20</v>
      </c>
      <c r="E8" s="2">
        <v>25000</v>
      </c>
      <c r="F8" s="2">
        <v>50000</v>
      </c>
      <c r="G8" s="2">
        <v>0</v>
      </c>
      <c r="H8" s="2">
        <v>0</v>
      </c>
      <c r="I8" s="2" t="s">
        <v>26</v>
      </c>
      <c r="J8" s="2" t="s">
        <v>27</v>
      </c>
    </row>
    <row r="9" spans="1:10" ht="15" customHeight="1">
      <c r="A9" s="2" t="s">
        <v>10</v>
      </c>
      <c r="B9" s="2" t="s">
        <v>28</v>
      </c>
      <c r="C9" s="2">
        <v>2</v>
      </c>
      <c r="D9" s="2" t="s">
        <v>17</v>
      </c>
      <c r="E9" s="2">
        <v>4500</v>
      </c>
      <c r="F9" s="2">
        <v>9000</v>
      </c>
      <c r="G9" s="2">
        <v>0</v>
      </c>
      <c r="H9" s="2">
        <v>0</v>
      </c>
      <c r="I9" s="2" t="s">
        <v>26</v>
      </c>
      <c r="J9" s="2" t="s">
        <v>27</v>
      </c>
    </row>
    <row r="10" spans="1:10" ht="15" customHeight="1">
      <c r="A10" s="2" t="s">
        <v>10</v>
      </c>
      <c r="B10" s="2" t="s">
        <v>29</v>
      </c>
      <c r="C10" s="2">
        <v>1</v>
      </c>
      <c r="D10" s="2" t="s">
        <v>17</v>
      </c>
      <c r="E10" s="2">
        <v>2500</v>
      </c>
      <c r="F10" s="2">
        <v>2500</v>
      </c>
      <c r="G10" s="2">
        <v>2500</v>
      </c>
      <c r="H10" s="2">
        <v>0</v>
      </c>
      <c r="I10" s="2" t="s">
        <v>13</v>
      </c>
      <c r="J10" s="2" t="s">
        <v>30</v>
      </c>
    </row>
    <row r="11" spans="1:10" ht="15" customHeight="1">
      <c r="A11" s="2" t="s">
        <v>10</v>
      </c>
      <c r="B11" s="2" t="s">
        <v>16</v>
      </c>
      <c r="C11" s="2">
        <v>1</v>
      </c>
      <c r="D11" s="2" t="s">
        <v>17</v>
      </c>
      <c r="E11" s="2">
        <v>5500</v>
      </c>
      <c r="F11" s="2">
        <v>5500</v>
      </c>
      <c r="G11" s="2">
        <v>0</v>
      </c>
      <c r="H11" s="2">
        <v>0</v>
      </c>
      <c r="I11" s="2" t="s">
        <v>26</v>
      </c>
      <c r="J11" s="2" t="s">
        <v>31</v>
      </c>
    </row>
    <row r="12" spans="1:10" ht="15" customHeight="1">
      <c r="A12" s="2" t="s">
        <v>10</v>
      </c>
      <c r="B12" s="2" t="s">
        <v>16</v>
      </c>
      <c r="C12" s="2">
        <v>1</v>
      </c>
      <c r="D12" s="2" t="s">
        <v>17</v>
      </c>
      <c r="E12" s="2">
        <v>5500</v>
      </c>
      <c r="F12" s="2">
        <v>5500</v>
      </c>
      <c r="G12" s="2">
        <v>0</v>
      </c>
      <c r="H12" s="2">
        <v>0</v>
      </c>
      <c r="I12" s="2" t="s">
        <v>26</v>
      </c>
      <c r="J12" s="2" t="s">
        <v>32</v>
      </c>
    </row>
    <row r="13" spans="1:10" ht="15" customHeight="1">
      <c r="A13" s="2" t="s">
        <v>10</v>
      </c>
      <c r="B13" s="2" t="s">
        <v>29</v>
      </c>
      <c r="C13" s="2">
        <v>1</v>
      </c>
      <c r="D13" s="2" t="s">
        <v>17</v>
      </c>
      <c r="E13" s="2">
        <v>3500</v>
      </c>
      <c r="F13" s="2">
        <v>3500</v>
      </c>
      <c r="G13" s="2">
        <v>0</v>
      </c>
      <c r="H13" s="2">
        <v>0</v>
      </c>
      <c r="I13" s="2" t="s">
        <v>26</v>
      </c>
      <c r="J13" s="2" t="s">
        <v>33</v>
      </c>
    </row>
    <row r="14" spans="1:10" ht="15" customHeight="1">
      <c r="A14" s="2" t="s">
        <v>10</v>
      </c>
      <c r="B14" s="2" t="s">
        <v>34</v>
      </c>
      <c r="C14" s="2">
        <v>1</v>
      </c>
      <c r="D14" s="2" t="s">
        <v>20</v>
      </c>
      <c r="E14" s="2">
        <v>2500</v>
      </c>
      <c r="F14" s="2">
        <v>2500</v>
      </c>
      <c r="G14" s="2">
        <v>0</v>
      </c>
      <c r="H14" s="2">
        <v>0</v>
      </c>
      <c r="I14" s="2" t="s">
        <v>26</v>
      </c>
      <c r="J14" s="2" t="s">
        <v>33</v>
      </c>
    </row>
    <row r="15" spans="1:10" ht="15" customHeight="1">
      <c r="A15" s="2" t="s">
        <v>10</v>
      </c>
      <c r="B15" s="2" t="s">
        <v>29</v>
      </c>
      <c r="C15" s="2">
        <v>1</v>
      </c>
      <c r="D15" s="2" t="s">
        <v>17</v>
      </c>
      <c r="E15" s="2">
        <v>3500</v>
      </c>
      <c r="F15" s="2">
        <v>3500</v>
      </c>
      <c r="G15" s="2">
        <v>0</v>
      </c>
      <c r="H15" s="2">
        <v>0</v>
      </c>
      <c r="I15" s="2" t="s">
        <v>26</v>
      </c>
      <c r="J15" s="2" t="s">
        <v>35</v>
      </c>
    </row>
    <row r="16" spans="1:10" ht="15" customHeight="1">
      <c r="C16" s="2">
        <v>16</v>
      </c>
      <c r="E16" s="2">
        <v>195300</v>
      </c>
      <c r="F16" s="2">
        <v>224800</v>
      </c>
      <c r="G16" s="2">
        <v>2500</v>
      </c>
      <c r="H16" s="2">
        <v>0</v>
      </c>
    </row>
    <row r="17" spans="1:10" ht="15" customHeight="1">
      <c r="A17" s="4" t="s">
        <v>36</v>
      </c>
    </row>
    <row r="18" spans="1:10" ht="15" customHeight="1">
      <c r="A18" s="5" t="s">
        <v>37</v>
      </c>
      <c r="B18" s="5" t="s">
        <v>38</v>
      </c>
      <c r="C18" s="5" t="s">
        <v>39</v>
      </c>
      <c r="D18" s="5" t="s">
        <v>40</v>
      </c>
    </row>
    <row r="19" spans="1:10" ht="15" customHeight="1">
      <c r="A19" s="6" t="s">
        <v>41</v>
      </c>
      <c r="B19" s="7">
        <v>10000</v>
      </c>
      <c r="C19" s="7">
        <v>100</v>
      </c>
      <c r="D19" s="8">
        <f>(C19/B19)*12</f>
        <v>0.12</v>
      </c>
    </row>
    <row r="20" spans="1:10" ht="15" customHeight="1">
      <c r="A20" s="6" t="s">
        <v>42</v>
      </c>
      <c r="B20" s="7">
        <v>100000</v>
      </c>
      <c r="C20" s="7">
        <v>1000</v>
      </c>
      <c r="D20" s="8">
        <f>(C20/B20)*12</f>
        <v>0.12</v>
      </c>
    </row>
    <row r="21" spans="1:10" ht="15" customHeight="1">
      <c r="A21" s="4" t="s">
        <v>43</v>
      </c>
      <c r="B21" s="9">
        <f>SUM(B19:B20)</f>
        <v>110000</v>
      </c>
      <c r="C21" s="9">
        <f>SUM(C19:C20)</f>
        <v>1100</v>
      </c>
    </row>
    <row r="23" spans="1:10" ht="15" customHeight="1">
      <c r="A23" s="4" t="s">
        <v>44</v>
      </c>
    </row>
    <row r="24" spans="1:10" ht="15" customHeight="1">
      <c r="A24" s="2" t="s">
        <v>45</v>
      </c>
      <c r="B24" s="9">
        <f>SUMIFS(F2:F1000,A2:A1000,"Sept - 2026",D2:D1000,"&lt;&gt;"&amp;"Monthly - Capital gains")</f>
        <v>223700</v>
      </c>
    </row>
    <row r="25" spans="1:10" ht="15" customHeight="1">
      <c r="A25" s="2" t="s">
        <v>46</v>
      </c>
      <c r="B25" s="9">
        <f>SUMIFS(F2:F1000,A2:A1000,"Sept - 2026",D2:D1000,"Monthly - Capital gains")</f>
        <v>1100</v>
      </c>
    </row>
    <row r="26" spans="1:10" ht="15" customHeight="1">
      <c r="A26" s="2" t="s">
        <v>47</v>
      </c>
      <c r="B26" s="10">
        <f>B24+B25</f>
        <v>224800</v>
      </c>
    </row>
    <row r="28" spans="1:10" ht="15" customHeight="1">
      <c r="A28" s="4" t="s">
        <v>48</v>
      </c>
    </row>
    <row r="29" spans="1:10" ht="15" customHeight="1">
      <c r="A29" s="1" t="s">
        <v>49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ht="15" customHeight="1">
      <c r="A30" s="1" t="s">
        <v>50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ht="15" customHeight="1">
      <c r="A31" s="1" t="s">
        <v>51</v>
      </c>
      <c r="B31" s="1"/>
      <c r="C31" s="1"/>
      <c r="D31" s="1"/>
      <c r="E31" s="1"/>
      <c r="F31" s="1"/>
      <c r="G31" s="1"/>
      <c r="H31" s="1"/>
      <c r="I31" s="1"/>
      <c r="J31" s="1"/>
    </row>
  </sheetData>
  <mergeCells count="3">
    <mergeCell ref="A29:J29"/>
    <mergeCell ref="A30:J30"/>
    <mergeCell ref="A31:J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Asanetic</cp:lastModifiedBy>
  <cp:revision>0</cp:revision>
  <dcterms:created xsi:type="dcterms:W3CDTF">2026-08-31T03:59:11Z</dcterms:created>
  <dcterms:modified xsi:type="dcterms:W3CDTF">2026-08-31T07:14:37Z</dcterms:modified>
  <dc:language>en-US</dc:language>
</cp:coreProperties>
</file>