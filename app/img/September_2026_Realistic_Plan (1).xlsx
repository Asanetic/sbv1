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Sheet 1" sheetId="1" r:id="rId1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1"/>
  <c r="B17"/>
  <c r="L14"/>
  <c r="B19" s="1"/>
  <c r="B21" s="1"/>
  <c r="L13"/>
  <c r="L12"/>
  <c r="L11"/>
  <c r="L10"/>
  <c r="L9"/>
  <c r="L8"/>
  <c r="L7"/>
  <c r="L6"/>
  <c r="L5"/>
  <c r="L4"/>
  <c r="L3"/>
  <c r="L2"/>
</calcChain>
</file>

<file path=xl/sharedStrings.xml><?xml version="1.0" encoding="utf-8"?>
<sst xmlns="http://schemas.openxmlformats.org/spreadsheetml/2006/main" count="128" uniqueCount="77">
  <si>
    <t>Plan Month</t>
  </si>
  <si>
    <t>Name</t>
  </si>
  <si>
    <t>Expected Customers</t>
  </si>
  <si>
    <t>Tag</t>
  </si>
  <si>
    <t>Average Deal Amount</t>
  </si>
  <si>
    <t>Expected Amt</t>
  </si>
  <si>
    <t>Actual Earnings</t>
  </si>
  <si>
    <t>Variance</t>
  </si>
  <si>
    <t>Status</t>
  </si>
  <si>
    <t>Notes</t>
  </si>
  <si>
    <t>Confidence %</t>
  </si>
  <si>
    <t>Weighted Forecast (KES)</t>
  </si>
  <si>
    <t>Sept - 2026</t>
  </si>
  <si>
    <t>Content Care Plan Bronze</t>
  </si>
  <si>
    <t>Monthly - reccurring</t>
  </si>
  <si>
    <t>Complete</t>
  </si>
  <si>
    <t>Trufinds kargo web content marketing</t>
  </si>
  <si>
    <t>Custom SaaS/Software Build</t>
  </si>
  <si>
    <t>one-time</t>
  </si>
  <si>
    <t>Finish POS Restaurant pricing and menu builder platform</t>
  </si>
  <si>
    <t>Shrews bury software dev for real estate construction</t>
  </si>
  <si>
    <t>Website Maintenance Retainer</t>
  </si>
  <si>
    <t>Octane Obit Platform — Ongoing Development, Infrastructure &amp;...</t>
  </si>
  <si>
    <t>Saas Onboarding</t>
  </si>
  <si>
    <t>Pending</t>
  </si>
  <si>
    <t>Inquire from paul</t>
  </si>
  <si>
    <t>POS Setup &amp; eTIMS Fiscalization</t>
  </si>
  <si>
    <t>Content Care Plan Lite</t>
  </si>
  <si>
    <t>Makongeni elite</t>
  </si>
  <si>
    <t>Shrews bury ltd</t>
  </si>
  <si>
    <t>Infolink college</t>
  </si>
  <si>
    <t>Money wit</t>
  </si>
  <si>
    <t>Server Restoration / Emergency Fix</t>
  </si>
  <si>
    <t>right way driving</t>
  </si>
  <si>
    <t>—</t>
  </si>
  <si>
    <t>Realistic September Forecast</t>
  </si>
  <si>
    <t>Total 'Expected Amt' on paper (all rows, no discount)</t>
  </si>
  <si>
    <t>Actually collected so far</t>
  </si>
  <si>
    <t>Confidence-weighted realistic forecast</t>
  </si>
  <si>
    <t>Your September goal</t>
  </si>
  <si>
    <t>Realistic gap vs goal</t>
  </si>
  <si>
    <t>What 'Complete' and 'Pending' actually mean in this plan</t>
  </si>
  <si>
    <t>•  Complete = deal signed, client committed. What's left is execution + invoicing — not sales risk.</t>
  </si>
  <si>
    <t>•  Pending = a real need exists, but no proposal has gone out yet (or it's awaiting one). This is pre-sale — the next action is yours: send the proposal, then follow up.</t>
  </si>
  <si>
    <t>•  So the two buckets need two different actions this month: Complete rows need invoices; Pending rows need proposals.</t>
  </si>
  <si>
    <t>Proposal &amp; Follow-Up Action Plan — send these proposals this week, don't let them sit</t>
  </si>
  <si>
    <t>Client / Job</t>
  </si>
  <si>
    <t>Amount (KES)</t>
  </si>
  <si>
    <t>Proposal sent by</t>
  </si>
  <si>
    <t>Follow-up if no response within</t>
  </si>
  <si>
    <t>Saas Onboarding — Paul (x2 clients)</t>
  </si>
  <si>
    <t>This week — biggest single item still pre-proposal</t>
  </si>
  <si>
    <t>4 days</t>
  </si>
  <si>
    <t>POS Setup &amp; eTIMS — Paul (x2 clients)</t>
  </si>
  <si>
    <t>Same conversation as above — bundle it in one proposal</t>
  </si>
  <si>
    <t>Content Care Bronze — Shrewsbury ltd</t>
  </si>
  <si>
    <t>This week</t>
  </si>
  <si>
    <t>5 days</t>
  </si>
  <si>
    <t>Content Care Bronze — Infolink college</t>
  </si>
  <si>
    <t>Content Care Lite — Money wit</t>
  </si>
  <si>
    <t>Server Restoration — Money wit</t>
  </si>
  <si>
    <t>Bundle with Money wit's Content Care proposal</t>
  </si>
  <si>
    <t>Content Care Lite — right way driving</t>
  </si>
  <si>
    <t>Invoicing Action Plan — send the invoice the moment each job is delivered, don't batch at month-end</t>
  </si>
  <si>
    <t>Invoice out by</t>
  </si>
  <si>
    <t>Follow-up if unpaid within</t>
  </si>
  <si>
    <t>Trufinds kargo — content marketing</t>
  </si>
  <si>
    <t>As soon as delivered</t>
  </si>
  <si>
    <t>48 hours</t>
  </si>
  <si>
    <t>POS Restaurant pricing/menu builder</t>
  </si>
  <si>
    <t>Shrewsbury real estate/construction dev</t>
  </si>
  <si>
    <t>Immediately on handover — don't wait for a 'final polish'</t>
  </si>
  <si>
    <t>3 days</t>
  </si>
  <si>
    <t>Octane Orbit — ongoing dev/infra</t>
  </si>
  <si>
    <t>Invoice in stages if possible, not one lump at month-end</t>
  </si>
  <si>
    <t>Priority order for the month:</t>
  </si>
  <si>
    <t>1) Deliver + invoice the 4 Complete jobs (they're already worth 133,700 combined). 2) Send the 7 pending proposals this week so they have time to close before month-end. Proposals sent late in September have almost no chance of both closing AND getting paid inside the month.</t>
  </si>
</sst>
</file>

<file path=xl/styles.xml><?xml version="1.0" encoding="utf-8"?>
<styleSheet xmlns="http://schemas.openxmlformats.org/spreadsheetml/2006/main">
  <numFmts count="1">
    <numFmt numFmtId="164" formatCode="&quot;KES &quot;#,##0"/>
  </numFmts>
  <fonts count="6">
    <font>
      <sz val="12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2"/>
      <color rgb="FF0000FF"/>
      <name val="Calibri"/>
      <charset val="1"/>
    </font>
    <font>
      <sz val="12"/>
      <name val="Calibri"/>
      <charset val="1"/>
    </font>
    <font>
      <b/>
      <sz val="12"/>
      <name val="Calibri"/>
      <charset val="1"/>
    </font>
    <font>
      <i/>
      <sz val="10"/>
      <color rgb="FF666666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4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C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Border="1"/>
    <xf numFmtId="0" fontId="5" fillId="0" borderId="0" xfId="0" applyFont="1" applyBorder="1" applyAlignment="1"/>
    <xf numFmtId="0" fontId="0" fillId="0" borderId="0" xfId="0" applyAlignment="1"/>
    <xf numFmtId="0" fontId="1" fillId="2" borderId="1" xfId="0" applyFont="1" applyFill="1" applyBorder="1" applyAlignment="1"/>
    <xf numFmtId="0" fontId="0" fillId="3" borderId="0" xfId="0" applyFill="1" applyAlignment="1"/>
    <xf numFmtId="9" fontId="2" fillId="4" borderId="1" xfId="0" applyNumberFormat="1" applyFont="1" applyFill="1" applyBorder="1" applyAlignment="1"/>
    <xf numFmtId="164" fontId="3" fillId="0" borderId="1" xfId="0" applyNumberFormat="1" applyFont="1" applyBorder="1" applyAlignment="1"/>
    <xf numFmtId="164" fontId="4" fillId="0" borderId="0" xfId="0" applyNumberFormat="1" applyFont="1" applyAlignment="1"/>
    <xf numFmtId="0" fontId="4" fillId="0" borderId="0" xfId="0" applyFont="1" applyAlignment="1"/>
    <xf numFmtId="164" fontId="4" fillId="5" borderId="0" xfId="0" applyNumberFormat="1" applyFont="1" applyFill="1" applyAlignment="1"/>
    <xf numFmtId="0" fontId="3" fillId="0" borderId="0" xfId="0" applyFont="1" applyAlignment="1"/>
    <xf numFmtId="0" fontId="3" fillId="0" borderId="0" xfId="0" applyFont="1"/>
    <xf numFmtId="0" fontId="1" fillId="2" borderId="1" xfId="0" applyFont="1" applyFill="1" applyBorder="1"/>
    <xf numFmtId="0" fontId="3" fillId="2" borderId="1" xfId="0" applyFont="1" applyFill="1" applyBorder="1" applyAlignment="1"/>
    <xf numFmtId="164" fontId="3" fillId="2" borderId="1" xfId="0" applyNumberFormat="1" applyFont="1" applyFill="1" applyBorder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topLeftCell="A25" workbookViewId="0">
      <selection activeCell="C31" sqref="C31"/>
    </sheetView>
  </sheetViews>
  <sheetFormatPr defaultColWidth="8.625" defaultRowHeight="15.75"/>
  <cols>
    <col min="1" max="10" width="20.875" style="3" customWidth="1"/>
    <col min="11" max="11" width="13" style="3" customWidth="1"/>
    <col min="12" max="12" width="18" style="3" customWidth="1"/>
  </cols>
  <sheetData>
    <row r="1" spans="1:12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spans="1:12" ht="15" customHeight="1">
      <c r="A2" s="3" t="s">
        <v>12</v>
      </c>
      <c r="B2" s="3" t="s">
        <v>13</v>
      </c>
      <c r="C2" s="3">
        <v>1</v>
      </c>
      <c r="D2" s="3" t="s">
        <v>14</v>
      </c>
      <c r="E2" s="3">
        <v>4500</v>
      </c>
      <c r="F2" s="3">
        <v>4500</v>
      </c>
      <c r="G2" s="5">
        <v>0</v>
      </c>
      <c r="H2" s="3">
        <v>0</v>
      </c>
      <c r="I2" s="5" t="s">
        <v>15</v>
      </c>
      <c r="J2" s="3" t="s">
        <v>16</v>
      </c>
      <c r="K2" s="6">
        <v>0.9</v>
      </c>
      <c r="L2" s="7">
        <f t="shared" ref="L2:L13" si="0">F2*K2</f>
        <v>4050</v>
      </c>
    </row>
    <row r="3" spans="1:12" ht="15" customHeight="1">
      <c r="A3" s="3" t="s">
        <v>12</v>
      </c>
      <c r="B3" s="3" t="s">
        <v>17</v>
      </c>
      <c r="C3" s="3">
        <v>1</v>
      </c>
      <c r="D3" s="3" t="s">
        <v>18</v>
      </c>
      <c r="E3" s="3">
        <v>17200</v>
      </c>
      <c r="F3" s="3">
        <v>17200</v>
      </c>
      <c r="G3" s="3">
        <v>0</v>
      </c>
      <c r="H3" s="3">
        <v>0</v>
      </c>
      <c r="I3" s="3" t="s">
        <v>15</v>
      </c>
      <c r="J3" s="3" t="s">
        <v>19</v>
      </c>
      <c r="K3" s="6">
        <v>0.85</v>
      </c>
      <c r="L3" s="7">
        <f t="shared" si="0"/>
        <v>14620</v>
      </c>
    </row>
    <row r="4" spans="1:12" ht="15" customHeight="1">
      <c r="A4" s="3" t="s">
        <v>12</v>
      </c>
      <c r="B4" s="3" t="s">
        <v>17</v>
      </c>
      <c r="C4" s="3">
        <v>1</v>
      </c>
      <c r="D4" s="3" t="s">
        <v>18</v>
      </c>
      <c r="E4" s="3">
        <v>50000</v>
      </c>
      <c r="F4" s="3">
        <v>50000</v>
      </c>
      <c r="G4" s="3">
        <v>0</v>
      </c>
      <c r="H4" s="3">
        <v>0</v>
      </c>
      <c r="I4" s="3" t="s">
        <v>15</v>
      </c>
      <c r="J4" s="3" t="s">
        <v>20</v>
      </c>
      <c r="K4" s="6">
        <v>0.8</v>
      </c>
      <c r="L4" s="7">
        <f t="shared" si="0"/>
        <v>40000</v>
      </c>
    </row>
    <row r="5" spans="1:12" ht="15" customHeight="1">
      <c r="A5" s="3" t="s">
        <v>12</v>
      </c>
      <c r="B5" s="3" t="s">
        <v>21</v>
      </c>
      <c r="C5" s="3">
        <v>1</v>
      </c>
      <c r="D5" s="3" t="s">
        <v>18</v>
      </c>
      <c r="E5" s="3">
        <v>70000</v>
      </c>
      <c r="F5" s="3">
        <v>70000</v>
      </c>
      <c r="G5" s="3">
        <v>0</v>
      </c>
      <c r="H5" s="3">
        <v>0</v>
      </c>
      <c r="I5" s="3" t="s">
        <v>15</v>
      </c>
      <c r="J5" s="3" t="s">
        <v>22</v>
      </c>
      <c r="K5" s="6">
        <v>0.75</v>
      </c>
      <c r="L5" s="7">
        <f t="shared" si="0"/>
        <v>52500</v>
      </c>
    </row>
    <row r="6" spans="1:12" ht="15" customHeight="1">
      <c r="A6" s="3" t="s">
        <v>12</v>
      </c>
      <c r="B6" s="3" t="s">
        <v>23</v>
      </c>
      <c r="C6" s="3">
        <v>2</v>
      </c>
      <c r="D6" s="3" t="s">
        <v>18</v>
      </c>
      <c r="E6" s="3">
        <v>25000</v>
      </c>
      <c r="F6" s="3">
        <v>50000</v>
      </c>
      <c r="G6" s="3">
        <v>0</v>
      </c>
      <c r="H6" s="3">
        <v>0</v>
      </c>
      <c r="I6" s="3" t="s">
        <v>24</v>
      </c>
      <c r="J6" s="3" t="s">
        <v>25</v>
      </c>
      <c r="K6" s="6">
        <v>0.2</v>
      </c>
      <c r="L6" s="7">
        <f t="shared" si="0"/>
        <v>10000</v>
      </c>
    </row>
    <row r="7" spans="1:12" ht="15" customHeight="1">
      <c r="A7" s="3" t="s">
        <v>12</v>
      </c>
      <c r="B7" s="3" t="s">
        <v>26</v>
      </c>
      <c r="C7" s="3">
        <v>2</v>
      </c>
      <c r="D7" s="3" t="s">
        <v>14</v>
      </c>
      <c r="E7" s="3">
        <v>4500</v>
      </c>
      <c r="F7" s="3">
        <v>9000</v>
      </c>
      <c r="G7" s="3">
        <v>0</v>
      </c>
      <c r="H7" s="3">
        <v>0</v>
      </c>
      <c r="I7" s="3" t="s">
        <v>24</v>
      </c>
      <c r="J7" s="3" t="s">
        <v>25</v>
      </c>
      <c r="K7" s="6">
        <v>0.2</v>
      </c>
      <c r="L7" s="7">
        <f t="shared" si="0"/>
        <v>1800</v>
      </c>
    </row>
    <row r="8" spans="1:12" ht="15" customHeight="1">
      <c r="A8" s="3" t="s">
        <v>12</v>
      </c>
      <c r="B8" s="3" t="s">
        <v>27</v>
      </c>
      <c r="C8" s="3">
        <v>1</v>
      </c>
      <c r="D8" s="3" t="s">
        <v>14</v>
      </c>
      <c r="E8" s="3">
        <v>2500</v>
      </c>
      <c r="F8" s="3">
        <v>2500</v>
      </c>
      <c r="G8" s="3">
        <v>2500</v>
      </c>
      <c r="H8" s="3">
        <v>0</v>
      </c>
      <c r="I8" s="3" t="s">
        <v>15</v>
      </c>
      <c r="J8" s="3" t="s">
        <v>28</v>
      </c>
      <c r="K8" s="6">
        <v>1</v>
      </c>
      <c r="L8" s="7">
        <f t="shared" si="0"/>
        <v>2500</v>
      </c>
    </row>
    <row r="9" spans="1:12" ht="15" customHeight="1">
      <c r="A9" s="3" t="s">
        <v>12</v>
      </c>
      <c r="B9" s="3" t="s">
        <v>13</v>
      </c>
      <c r="C9" s="3">
        <v>1</v>
      </c>
      <c r="D9" s="3" t="s">
        <v>14</v>
      </c>
      <c r="E9" s="3">
        <v>5500</v>
      </c>
      <c r="F9" s="3">
        <v>5500</v>
      </c>
      <c r="G9" s="3">
        <v>0</v>
      </c>
      <c r="H9" s="3">
        <v>0</v>
      </c>
      <c r="I9" s="3" t="s">
        <v>24</v>
      </c>
      <c r="J9" s="3" t="s">
        <v>29</v>
      </c>
      <c r="K9" s="6">
        <v>0.6</v>
      </c>
      <c r="L9" s="7">
        <f t="shared" si="0"/>
        <v>3300</v>
      </c>
    </row>
    <row r="10" spans="1:12" ht="15" customHeight="1">
      <c r="A10" s="3" t="s">
        <v>12</v>
      </c>
      <c r="B10" s="3" t="s">
        <v>13</v>
      </c>
      <c r="C10" s="3">
        <v>1</v>
      </c>
      <c r="D10" s="3" t="s">
        <v>14</v>
      </c>
      <c r="E10" s="3">
        <v>5500</v>
      </c>
      <c r="F10" s="3">
        <v>5500</v>
      </c>
      <c r="G10" s="3">
        <v>0</v>
      </c>
      <c r="H10" s="3">
        <v>0</v>
      </c>
      <c r="I10" s="3" t="s">
        <v>24</v>
      </c>
      <c r="J10" s="3" t="s">
        <v>30</v>
      </c>
      <c r="K10" s="6">
        <v>0.6</v>
      </c>
      <c r="L10" s="7">
        <f t="shared" si="0"/>
        <v>3300</v>
      </c>
    </row>
    <row r="11" spans="1:12" ht="15" customHeight="1">
      <c r="A11" s="3" t="s">
        <v>12</v>
      </c>
      <c r="B11" s="3" t="s">
        <v>27</v>
      </c>
      <c r="C11" s="3">
        <v>1</v>
      </c>
      <c r="D11" s="3" t="s">
        <v>14</v>
      </c>
      <c r="E11" s="3">
        <v>3500</v>
      </c>
      <c r="F11" s="3">
        <v>3500</v>
      </c>
      <c r="G11" s="3">
        <v>0</v>
      </c>
      <c r="H11" s="3">
        <v>0</v>
      </c>
      <c r="I11" s="3" t="s">
        <v>24</v>
      </c>
      <c r="J11" s="3" t="s">
        <v>31</v>
      </c>
      <c r="K11" s="6">
        <v>0.5</v>
      </c>
      <c r="L11" s="7">
        <f t="shared" si="0"/>
        <v>1750</v>
      </c>
    </row>
    <row r="12" spans="1:12" ht="15" customHeight="1">
      <c r="A12" s="3" t="s">
        <v>12</v>
      </c>
      <c r="B12" s="3" t="s">
        <v>32</v>
      </c>
      <c r="C12" s="3">
        <v>1</v>
      </c>
      <c r="D12" s="3" t="s">
        <v>18</v>
      </c>
      <c r="E12" s="3">
        <v>2500</v>
      </c>
      <c r="F12" s="3">
        <v>2500</v>
      </c>
      <c r="G12" s="3">
        <v>0</v>
      </c>
      <c r="H12" s="3">
        <v>0</v>
      </c>
      <c r="I12" s="3" t="s">
        <v>24</v>
      </c>
      <c r="J12" s="3" t="s">
        <v>31</v>
      </c>
      <c r="K12" s="6">
        <v>0.5</v>
      </c>
      <c r="L12" s="7">
        <f t="shared" si="0"/>
        <v>1250</v>
      </c>
    </row>
    <row r="13" spans="1:12" ht="15" customHeight="1">
      <c r="A13" s="3" t="s">
        <v>12</v>
      </c>
      <c r="B13" s="3" t="s">
        <v>27</v>
      </c>
      <c r="C13" s="3">
        <v>1</v>
      </c>
      <c r="D13" s="3" t="s">
        <v>14</v>
      </c>
      <c r="E13" s="3">
        <v>3500</v>
      </c>
      <c r="F13" s="3">
        <v>3500</v>
      </c>
      <c r="G13" s="3">
        <v>0</v>
      </c>
      <c r="H13" s="3">
        <v>0</v>
      </c>
      <c r="I13" s="3" t="s">
        <v>24</v>
      </c>
      <c r="J13" s="3" t="s">
        <v>33</v>
      </c>
      <c r="K13" s="6">
        <v>0.5</v>
      </c>
      <c r="L13" s="7">
        <f t="shared" si="0"/>
        <v>1750</v>
      </c>
    </row>
    <row r="14" spans="1:12" ht="15" customHeight="1">
      <c r="C14" s="3">
        <v>14</v>
      </c>
      <c r="E14" s="3">
        <v>194200</v>
      </c>
      <c r="F14" s="3">
        <v>223700</v>
      </c>
      <c r="G14" s="3">
        <v>2500</v>
      </c>
      <c r="H14" s="3">
        <v>0</v>
      </c>
      <c r="K14" s="3" t="s">
        <v>34</v>
      </c>
      <c r="L14" s="8">
        <f>SUM(L2:L13)</f>
        <v>136820</v>
      </c>
    </row>
    <row r="16" spans="1:12" ht="15" customHeight="1">
      <c r="A16" s="9" t="s">
        <v>35</v>
      </c>
    </row>
    <row r="17" spans="1:12" ht="15" customHeight="1">
      <c r="A17" s="3" t="s">
        <v>36</v>
      </c>
      <c r="B17" s="8">
        <f>F14</f>
        <v>223700</v>
      </c>
    </row>
    <row r="18" spans="1:12" ht="15" customHeight="1">
      <c r="A18" s="3" t="s">
        <v>37</v>
      </c>
      <c r="B18" s="8">
        <f>G14</f>
        <v>2500</v>
      </c>
    </row>
    <row r="19" spans="1:12" ht="15" customHeight="1">
      <c r="A19" s="3" t="s">
        <v>38</v>
      </c>
      <c r="B19" s="10">
        <f>L14</f>
        <v>136820</v>
      </c>
    </row>
    <row r="20" spans="1:12" ht="15" customHeight="1">
      <c r="A20" s="3" t="s">
        <v>39</v>
      </c>
      <c r="B20" s="8">
        <v>150000</v>
      </c>
    </row>
    <row r="21" spans="1:12" ht="15" customHeight="1">
      <c r="A21" s="3" t="s">
        <v>40</v>
      </c>
      <c r="B21" s="8">
        <f>B19-B20</f>
        <v>-13180</v>
      </c>
    </row>
    <row r="23" spans="1:12" ht="15" customHeight="1">
      <c r="A23" s="9" t="s">
        <v>41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5" customHeight="1">
      <c r="A24" s="2" t="s">
        <v>42</v>
      </c>
      <c r="B24" s="2"/>
      <c r="C24" s="2"/>
      <c r="D24" s="2"/>
      <c r="E24" s="2"/>
      <c r="F24" s="2"/>
      <c r="G24" s="2"/>
      <c r="H24" s="2"/>
      <c r="I24" s="2"/>
      <c r="J24" s="2"/>
      <c r="K24" s="11"/>
      <c r="L24" s="11"/>
    </row>
    <row r="25" spans="1:12" ht="15" customHeight="1">
      <c r="A25" s="2" t="s">
        <v>43</v>
      </c>
      <c r="B25" s="2"/>
      <c r="C25" s="2"/>
      <c r="D25" s="2"/>
      <c r="E25" s="2"/>
      <c r="F25" s="2"/>
      <c r="G25" s="2"/>
      <c r="H25" s="2"/>
      <c r="I25" s="2"/>
      <c r="J25" s="2"/>
      <c r="K25" s="11"/>
      <c r="L25" s="11"/>
    </row>
    <row r="26" spans="1:12" ht="15" customHeight="1">
      <c r="A26" s="2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11"/>
      <c r="L26" s="11"/>
    </row>
    <row r="27" spans="1:12" ht="15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1"/>
      <c r="L27" s="11"/>
    </row>
    <row r="28" spans="1:12" ht="15" customHeight="1">
      <c r="A28" s="9" t="s">
        <v>45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" customHeight="1">
      <c r="A29" s="4" t="s">
        <v>46</v>
      </c>
      <c r="B29" s="13" t="s">
        <v>47</v>
      </c>
      <c r="C29" s="13" t="s">
        <v>48</v>
      </c>
      <c r="D29" s="13" t="s">
        <v>49</v>
      </c>
      <c r="E29" s="12"/>
      <c r="F29" s="12"/>
      <c r="G29" s="12"/>
      <c r="H29" s="12"/>
      <c r="I29" s="12"/>
      <c r="J29" s="12"/>
      <c r="K29" s="12"/>
      <c r="L29" s="12"/>
    </row>
    <row r="30" spans="1:12" ht="15" customHeight="1">
      <c r="A30" s="14" t="s">
        <v>50</v>
      </c>
      <c r="B30" s="15">
        <v>50000</v>
      </c>
      <c r="C30" s="14" t="s">
        <v>51</v>
      </c>
      <c r="D30" s="14" t="s">
        <v>52</v>
      </c>
      <c r="E30" s="12"/>
      <c r="F30" s="12"/>
      <c r="G30" s="12"/>
      <c r="H30" s="12"/>
      <c r="I30" s="12"/>
      <c r="J30" s="12"/>
      <c r="K30" s="12"/>
      <c r="L30" s="12"/>
    </row>
    <row r="31" spans="1:12" ht="15" customHeight="1">
      <c r="A31" s="16" t="s">
        <v>53</v>
      </c>
      <c r="B31" s="17">
        <v>9000</v>
      </c>
      <c r="C31" s="16" t="s">
        <v>54</v>
      </c>
      <c r="D31" s="16" t="s">
        <v>52</v>
      </c>
      <c r="E31" s="12"/>
      <c r="F31" s="12"/>
      <c r="G31" s="12"/>
      <c r="H31" s="12"/>
      <c r="I31" s="12"/>
      <c r="J31" s="12"/>
      <c r="K31" s="12"/>
      <c r="L31" s="12"/>
    </row>
    <row r="32" spans="1:12" ht="15" customHeight="1">
      <c r="A32" s="16" t="s">
        <v>55</v>
      </c>
      <c r="B32" s="17">
        <v>5500</v>
      </c>
      <c r="C32" s="16" t="s">
        <v>56</v>
      </c>
      <c r="D32" s="16" t="s">
        <v>57</v>
      </c>
      <c r="E32" s="12"/>
      <c r="F32" s="12"/>
      <c r="G32" s="12"/>
      <c r="H32" s="12"/>
      <c r="I32" s="12"/>
      <c r="J32" s="12"/>
      <c r="K32" s="12"/>
      <c r="L32" s="12"/>
    </row>
    <row r="33" spans="1:12" ht="15" customHeight="1">
      <c r="A33" s="16" t="s">
        <v>58</v>
      </c>
      <c r="B33" s="17">
        <v>5500</v>
      </c>
      <c r="C33" s="16" t="s">
        <v>56</v>
      </c>
      <c r="D33" s="16" t="s">
        <v>57</v>
      </c>
      <c r="E33" s="12"/>
      <c r="F33" s="12"/>
      <c r="G33" s="12"/>
      <c r="H33" s="12"/>
      <c r="I33" s="12"/>
      <c r="J33" s="12"/>
      <c r="K33" s="12"/>
      <c r="L33" s="12"/>
    </row>
    <row r="34" spans="1:12" ht="15" customHeight="1">
      <c r="A34" s="16" t="s">
        <v>59</v>
      </c>
      <c r="B34" s="17">
        <v>3500</v>
      </c>
      <c r="C34" s="16" t="s">
        <v>56</v>
      </c>
      <c r="D34" s="16" t="s">
        <v>57</v>
      </c>
      <c r="E34" s="12"/>
      <c r="F34" s="12"/>
      <c r="G34" s="12"/>
      <c r="H34" s="12"/>
      <c r="I34" s="12"/>
      <c r="J34" s="12"/>
      <c r="K34" s="12"/>
      <c r="L34" s="12"/>
    </row>
    <row r="35" spans="1:12">
      <c r="A35" s="18" t="s">
        <v>60</v>
      </c>
      <c r="B35" s="19">
        <v>2500</v>
      </c>
      <c r="C35" s="18" t="s">
        <v>61</v>
      </c>
      <c r="D35" s="18" t="s">
        <v>57</v>
      </c>
      <c r="E35" s="12"/>
      <c r="F35" s="12"/>
      <c r="G35" s="12"/>
      <c r="H35" s="12"/>
      <c r="I35" s="12"/>
      <c r="J35" s="12"/>
      <c r="K35" s="12"/>
      <c r="L35" s="12"/>
    </row>
    <row r="36" spans="1:12" ht="15" customHeight="1">
      <c r="A36" s="16" t="s">
        <v>62</v>
      </c>
      <c r="B36" s="19">
        <v>3500</v>
      </c>
      <c r="C36" s="18" t="s">
        <v>56</v>
      </c>
      <c r="D36" s="18" t="s">
        <v>57</v>
      </c>
      <c r="E36" s="12"/>
      <c r="F36" s="12"/>
      <c r="G36" s="12"/>
      <c r="H36" s="12"/>
      <c r="I36" s="12"/>
      <c r="J36" s="12"/>
      <c r="K36" s="12"/>
      <c r="L36" s="12"/>
    </row>
    <row r="37" spans="1:12" ht="15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20" t="s">
        <v>63</v>
      </c>
    </row>
    <row r="39" spans="1:12">
      <c r="A39" s="13" t="s">
        <v>46</v>
      </c>
      <c r="B39" s="13" t="s">
        <v>47</v>
      </c>
      <c r="C39" s="13" t="s">
        <v>64</v>
      </c>
      <c r="D39" s="13" t="s">
        <v>65</v>
      </c>
    </row>
    <row r="40" spans="1:12">
      <c r="A40" s="18" t="s">
        <v>66</v>
      </c>
      <c r="B40" s="19">
        <v>4500</v>
      </c>
      <c r="C40" s="18" t="s">
        <v>67</v>
      </c>
      <c r="D40" s="18" t="s">
        <v>68</v>
      </c>
    </row>
    <row r="41" spans="1:12">
      <c r="A41" s="18" t="s">
        <v>69</v>
      </c>
      <c r="B41" s="19">
        <v>17200</v>
      </c>
      <c r="C41" s="18" t="s">
        <v>67</v>
      </c>
      <c r="D41" s="18" t="s">
        <v>68</v>
      </c>
    </row>
    <row r="42" spans="1:12">
      <c r="A42" s="18" t="s">
        <v>70</v>
      </c>
      <c r="B42" s="19">
        <v>50000</v>
      </c>
      <c r="C42" s="18" t="s">
        <v>71</v>
      </c>
      <c r="D42" s="18" t="s">
        <v>72</v>
      </c>
    </row>
    <row r="43" spans="1:12">
      <c r="A43" s="18" t="s">
        <v>73</v>
      </c>
      <c r="B43" s="19">
        <v>70000</v>
      </c>
      <c r="C43" s="18" t="s">
        <v>74</v>
      </c>
      <c r="D43" s="18" t="s">
        <v>72</v>
      </c>
    </row>
    <row r="45" spans="1:12">
      <c r="A45" s="20" t="s">
        <v>75</v>
      </c>
    </row>
    <row r="46" spans="1:12">
      <c r="A46" s="1" t="s">
        <v>76</v>
      </c>
      <c r="B46" s="1"/>
      <c r="C46" s="1"/>
      <c r="D46" s="1"/>
      <c r="E46" s="1"/>
      <c r="F46" s="1"/>
      <c r="G46" s="1"/>
      <c r="H46" s="1"/>
      <c r="I46" s="1"/>
      <c r="J46" s="1"/>
    </row>
  </sheetData>
  <mergeCells count="4">
    <mergeCell ref="A24:J24"/>
    <mergeCell ref="A25:J25"/>
    <mergeCell ref="A26:J26"/>
    <mergeCell ref="A46:J4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Asanetic</cp:lastModifiedBy>
  <cp:revision>0</cp:revision>
  <dcterms:created xsi:type="dcterms:W3CDTF">2026-08-31T03:20:51Z</dcterms:created>
  <dcterms:modified xsi:type="dcterms:W3CDTF">2026-08-31T07:24:41Z</dcterms:modified>
  <dc:language>en-US</dc:language>
</cp:coreProperties>
</file>