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1"/>
  </bookViews>
  <sheets>
    <sheet name="Assumptions" sheetId="1" r:id="rId1"/>
    <sheet name="Monthly Projection" sheetId="2" r:id="rId2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2"/>
  <c r="C17"/>
  <c r="B17"/>
  <c r="D17" s="1"/>
  <c r="D16"/>
  <c r="B16"/>
  <c r="E16" s="1"/>
  <c r="E15"/>
  <c r="C15"/>
  <c r="B15"/>
  <c r="F15" s="1"/>
  <c r="B14"/>
  <c r="C14" s="1"/>
  <c r="E13"/>
  <c r="C13"/>
  <c r="B13"/>
  <c r="D13" s="1"/>
  <c r="D12"/>
  <c r="B12"/>
  <c r="E12" s="1"/>
  <c r="E11"/>
  <c r="C11"/>
  <c r="B11"/>
  <c r="F11" s="1"/>
  <c r="B10"/>
  <c r="C10" s="1"/>
  <c r="E9"/>
  <c r="C9"/>
  <c r="B9"/>
  <c r="D9" s="1"/>
  <c r="D8"/>
  <c r="B8"/>
  <c r="E8" s="1"/>
  <c r="E7"/>
  <c r="C7"/>
  <c r="B7"/>
  <c r="F7" s="1"/>
  <c r="B6"/>
  <c r="C6" s="1"/>
  <c r="K5"/>
  <c r="L5" s="1"/>
  <c r="G5"/>
  <c r="G6" s="1"/>
  <c r="B19" i="1"/>
  <c r="G7" i="2" l="1"/>
  <c r="N5"/>
  <c r="E6"/>
  <c r="I6" s="1"/>
  <c r="I7" s="1"/>
  <c r="I8" s="1"/>
  <c r="I9" s="1"/>
  <c r="D7"/>
  <c r="C8"/>
  <c r="F9"/>
  <c r="E10"/>
  <c r="D11"/>
  <c r="C12"/>
  <c r="F13"/>
  <c r="E14"/>
  <c r="D15"/>
  <c r="C16"/>
  <c r="F17"/>
  <c r="F6"/>
  <c r="J6" s="1"/>
  <c r="J7" s="1"/>
  <c r="F10"/>
  <c r="F14"/>
  <c r="D6"/>
  <c r="H6" s="1"/>
  <c r="H7" s="1"/>
  <c r="H8" s="1"/>
  <c r="H9" s="1"/>
  <c r="H10" s="1"/>
  <c r="H11" s="1"/>
  <c r="H12" s="1"/>
  <c r="H13" s="1"/>
  <c r="H14" s="1"/>
  <c r="H15" s="1"/>
  <c r="H16" s="1"/>
  <c r="H17" s="1"/>
  <c r="F12"/>
  <c r="D14"/>
  <c r="F16"/>
  <c r="M5"/>
  <c r="F8"/>
  <c r="D10"/>
  <c r="K6" l="1"/>
  <c r="N7"/>
  <c r="K7"/>
  <c r="M7" s="1"/>
  <c r="G8"/>
  <c r="J8"/>
  <c r="J9" s="1"/>
  <c r="J10" s="1"/>
  <c r="J11" s="1"/>
  <c r="J12" s="1"/>
  <c r="J13" s="1"/>
  <c r="J14" s="1"/>
  <c r="J15" s="1"/>
  <c r="J16" s="1"/>
  <c r="J17" s="1"/>
  <c r="I10"/>
  <c r="I11" s="1"/>
  <c r="I12" s="1"/>
  <c r="I13" s="1"/>
  <c r="I14" s="1"/>
  <c r="I15" s="1"/>
  <c r="I16" s="1"/>
  <c r="I17" s="1"/>
  <c r="N6"/>
  <c r="M6" l="1"/>
  <c r="L6"/>
  <c r="L7" s="1"/>
  <c r="G9"/>
  <c r="N8"/>
  <c r="K8"/>
  <c r="M8" s="1"/>
  <c r="G10" l="1"/>
  <c r="K9"/>
  <c r="M9" s="1"/>
  <c r="N9"/>
  <c r="L8"/>
  <c r="L9" s="1"/>
  <c r="K10" l="1"/>
  <c r="M10" s="1"/>
  <c r="G11"/>
  <c r="N10"/>
  <c r="L10"/>
  <c r="N11" l="1"/>
  <c r="K11"/>
  <c r="M11" s="1"/>
  <c r="G12"/>
  <c r="G13" l="1"/>
  <c r="N12"/>
  <c r="K12"/>
  <c r="M12" s="1"/>
  <c r="L11"/>
  <c r="G14" l="1"/>
  <c r="K13"/>
  <c r="M13" s="1"/>
  <c r="N13"/>
  <c r="L12"/>
  <c r="L13" s="1"/>
  <c r="K14" l="1"/>
  <c r="M14" s="1"/>
  <c r="N14"/>
  <c r="G15"/>
  <c r="N15" l="1"/>
  <c r="K15"/>
  <c r="M15" s="1"/>
  <c r="G16"/>
  <c r="L14"/>
  <c r="L15" s="1"/>
  <c r="G17" l="1"/>
  <c r="N16"/>
  <c r="K16"/>
  <c r="M16" s="1"/>
  <c r="K17" l="1"/>
  <c r="M17" s="1"/>
  <c r="C19" s="1"/>
  <c r="N17"/>
  <c r="L16"/>
  <c r="L17" l="1"/>
</calcChain>
</file>

<file path=xl/sharedStrings.xml><?xml version="1.0" encoding="utf-8"?>
<sst xmlns="http://schemas.openxmlformats.org/spreadsheetml/2006/main" count="68" uniqueCount="57">
  <si>
    <t>Asanetic Recurring Revenue — Projection Assumptions</t>
  </si>
  <si>
    <t>All figures in KES. Blue cells are editable inputs — change them and every projection month recalculates.</t>
  </si>
  <si>
    <t>Product Line Pricing (avg monthly fee per client)</t>
  </si>
  <si>
    <t>Product</t>
  </si>
  <si>
    <t>Avg Monthly Fee (KES)</t>
  </si>
  <si>
    <t>Notes</t>
  </si>
  <si>
    <t>Content Care Plan</t>
  </si>
  <si>
    <t>Blended actual: Sept 2026 closed deals (5 clients, KES 20,500 MRR ÷ 5)</t>
  </si>
  <si>
    <t>POS (Rack POS)</t>
  </si>
  <si>
    <t>Midpoint of stated KES 1,500 (min) – 2,500 (standard) range</t>
  </si>
  <si>
    <t>Real Estate / Construction SaaS</t>
  </si>
  <si>
    <t>Stated 'KES 4,000 and above' — using conservative estimate; update as pricing firms up</t>
  </si>
  <si>
    <t>Rental Management System</t>
  </si>
  <si>
    <t>As specified</t>
  </si>
  <si>
    <t>New Client Acquisition</t>
  </si>
  <si>
    <t>New clients per month (all products combined)</t>
  </si>
  <si>
    <t>Stated: 2–3/month realistic close rate; using midpoint 2.5</t>
  </si>
  <si>
    <t>Allocation across product lines</t>
  </si>
  <si>
    <t>Assumption — no signal yet on which line will close fastest; even split until data says otherwise</t>
  </si>
  <si>
    <t>Allocation must sum to 100%:</t>
  </si>
  <si>
    <t>Churn</t>
  </si>
  <si>
    <t>Monthly churn rate (all products)</t>
  </si>
  <si>
    <t>Set to 0% until you have real retention data — kill-switch model should keep this low, but don't assume zero forever</t>
  </si>
  <si>
    <t>Starting Point — September 2026 (actual, from income_plan.xlsx)</t>
  </si>
  <si>
    <t>Active clients (actual)</t>
  </si>
  <si>
    <t>Active MRR (actual)</t>
  </si>
  <si>
    <t>Blended Recurring Revenue Projection — Content Care + POS + Real Estate/Construction SaaS + Rental Mgmt</t>
  </si>
  <si>
    <t>Month 0 (Sep-2026) is actual. Months 1–12 project forward using the assumptions on the 'Assumptions' tab. All links to that tab are green.</t>
  </si>
  <si>
    <t>Month</t>
  </si>
  <si>
    <t>New Clients
(total)</t>
  </si>
  <si>
    <t>New: Content
Care</t>
  </si>
  <si>
    <t>New: POS</t>
  </si>
  <si>
    <t>New: Real Estate
/Constr. SaaS</t>
  </si>
  <si>
    <t>New: Rental
Mgmt</t>
  </si>
  <si>
    <t>Cum. Clients
Content Care</t>
  </si>
  <si>
    <t>Cum. Clients
POS</t>
  </si>
  <si>
    <t>Cum. Clients
Real Estate</t>
  </si>
  <si>
    <t>Cum. Clients
Rental Mgmt</t>
  </si>
  <si>
    <t>Total MRR
(KES)</t>
  </si>
  <si>
    <t>Cumulative
Revenue (KES)</t>
  </si>
  <si>
    <t>150K
Flag</t>
  </si>
  <si>
    <t>Total Clients
(all products)</t>
  </si>
  <si>
    <t>Sep-2026 (actual)</t>
  </si>
  <si>
    <t>-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</si>
  <si>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</si>
  <si>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</si>
  <si>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</si>
  <si>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</si>
  <si>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</si>
  <si>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</si>
  <si>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</si>
  <si>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</si>
  <si>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</si>
  <si>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</si>
  <si>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</si>
  <si>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</si>
  <si>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total MRR reaches KES 150,000 when:</t>
  </si>
</sst>
</file>

<file path=xl/styles.xml><?xml version="1.0" encoding="utf-8"?>
<styleSheet xmlns="http://schemas.openxmlformats.org/spreadsheetml/2006/main">
  <numFmts count="3">
    <numFmt numFmtId="164" formatCode="&quot;KES &quot;#,##0;&quot;(KES &quot;#,##0\);\-"/>
    <numFmt numFmtId="165" formatCode="0.0%"/>
    <numFmt numFmtId="166" formatCode="0.0"/>
  </numFmts>
  <fonts count="8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/>
    <xf numFmtId="0" fontId="0" fillId="0" borderId="0" xfId="0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164" fontId="6" fillId="3" borderId="1" xfId="0" applyNumberFormat="1" applyFont="1" applyFill="1" applyBorder="1" applyAlignment="1"/>
    <xf numFmtId="0" fontId="2" fillId="0" borderId="1" xfId="0" applyFont="1" applyBorder="1" applyAlignment="1"/>
    <xf numFmtId="0" fontId="6" fillId="3" borderId="0" xfId="0" applyFont="1" applyFill="1" applyAlignment="1"/>
    <xf numFmtId="0" fontId="2" fillId="0" borderId="0" xfId="0" applyFont="1" applyAlignment="1"/>
    <xf numFmtId="0" fontId="0" fillId="0" borderId="1" xfId="0" applyFont="1" applyBorder="1" applyAlignment="1"/>
    <xf numFmtId="165" fontId="6" fillId="3" borderId="1" xfId="0" applyNumberFormat="1" applyFont="1" applyFill="1" applyBorder="1" applyAlignment="1"/>
    <xf numFmtId="165" fontId="3" fillId="0" borderId="0" xfId="0" applyNumberFormat="1" applyFont="1" applyAlignment="1"/>
    <xf numFmtId="165" fontId="6" fillId="3" borderId="0" xfId="0" applyNumberFormat="1" applyFont="1" applyFill="1" applyAlignment="1"/>
    <xf numFmtId="164" fontId="6" fillId="3" borderId="0" xfId="0" applyNumberFormat="1" applyFont="1" applyFill="1" applyAlignment="1"/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 applyAlignment="1"/>
    <xf numFmtId="0" fontId="7" fillId="0" borderId="1" xfId="0" applyFont="1" applyBorder="1" applyAlignment="1"/>
    <xf numFmtId="164" fontId="7" fillId="0" borderId="1" xfId="0" applyNumberFormat="1" applyFont="1" applyBorder="1" applyAlignment="1"/>
    <xf numFmtId="164" fontId="0" fillId="0" borderId="1" xfId="0" applyNumberFormat="1" applyBorder="1" applyAlignment="1"/>
    <xf numFmtId="166" fontId="3" fillId="0" borderId="1" xfId="0" applyNumberFormat="1" applyFont="1" applyBorder="1"/>
    <xf numFmtId="166" fontId="7" fillId="0" borderId="1" xfId="0" applyNumberFormat="1" applyFont="1" applyBorder="1" applyAlignment="1"/>
    <xf numFmtId="166" fontId="0" fillId="0" borderId="1" xfId="0" applyNumberFormat="1" applyBorder="1" applyAlignment="1"/>
    <xf numFmtId="164" fontId="3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showGridLines="0" topLeftCell="A7" workbookViewId="0">
      <selection sqref="A1:C1"/>
    </sheetView>
  </sheetViews>
  <sheetFormatPr defaultColWidth="8.7109375" defaultRowHeight="15"/>
  <cols>
    <col min="1" max="1" width="51.85546875" style="4" customWidth="1"/>
    <col min="2" max="2" width="43.140625" style="4" customWidth="1"/>
    <col min="3" max="3" width="46" style="4" customWidth="1"/>
  </cols>
  <sheetData>
    <row r="1" spans="1:3" ht="17.25" customHeight="1">
      <c r="A1" s="3" t="s">
        <v>0</v>
      </c>
      <c r="B1" s="3"/>
      <c r="C1" s="3"/>
    </row>
    <row r="2" spans="1:3" ht="15" customHeight="1">
      <c r="A2" s="2" t="s">
        <v>1</v>
      </c>
      <c r="B2" s="2"/>
      <c r="C2" s="2"/>
    </row>
    <row r="4" spans="1:3" ht="15" customHeight="1">
      <c r="A4" s="5" t="s">
        <v>2</v>
      </c>
    </row>
    <row r="5" spans="1:3" ht="26.25" customHeight="1">
      <c r="A5" s="6" t="s">
        <v>3</v>
      </c>
      <c r="B5" s="6" t="s">
        <v>4</v>
      </c>
      <c r="C5" s="6" t="s">
        <v>5</v>
      </c>
    </row>
    <row r="6" spans="1:3" ht="15" customHeight="1">
      <c r="A6" s="7" t="s">
        <v>6</v>
      </c>
      <c r="B6" s="8">
        <v>4100</v>
      </c>
      <c r="C6" s="9" t="s">
        <v>7</v>
      </c>
    </row>
    <row r="7" spans="1:3" ht="15" customHeight="1">
      <c r="A7" s="7" t="s">
        <v>8</v>
      </c>
      <c r="B7" s="8">
        <v>2000</v>
      </c>
      <c r="C7" s="9" t="s">
        <v>9</v>
      </c>
    </row>
    <row r="8" spans="1:3" ht="15" customHeight="1">
      <c r="A8" s="7" t="s">
        <v>10</v>
      </c>
      <c r="B8" s="8">
        <v>4500</v>
      </c>
      <c r="C8" s="9" t="s">
        <v>11</v>
      </c>
    </row>
    <row r="9" spans="1:3" ht="15" customHeight="1">
      <c r="A9" s="7" t="s">
        <v>12</v>
      </c>
      <c r="B9" s="8">
        <v>3500</v>
      </c>
      <c r="C9" s="9" t="s">
        <v>13</v>
      </c>
    </row>
    <row r="11" spans="1:3" ht="15" customHeight="1">
      <c r="A11" s="5" t="s">
        <v>14</v>
      </c>
    </row>
    <row r="12" spans="1:3" ht="15" customHeight="1">
      <c r="A12" s="4" t="s">
        <v>15</v>
      </c>
      <c r="B12" s="10">
        <v>2.5</v>
      </c>
      <c r="C12" s="11" t="s">
        <v>16</v>
      </c>
    </row>
    <row r="13" spans="1:3" ht="15" customHeight="1">
      <c r="A13" s="5" t="s">
        <v>17</v>
      </c>
    </row>
    <row r="14" spans="1:3" ht="15" customHeight="1">
      <c r="A14" s="12" t="s">
        <v>6</v>
      </c>
      <c r="B14" s="13">
        <v>0.25</v>
      </c>
      <c r="C14" s="9" t="s">
        <v>18</v>
      </c>
    </row>
    <row r="15" spans="1:3" ht="15" customHeight="1">
      <c r="A15" s="12" t="s">
        <v>8</v>
      </c>
      <c r="B15" s="13">
        <v>0.25</v>
      </c>
      <c r="C15" s="9" t="s">
        <v>18</v>
      </c>
    </row>
    <row r="16" spans="1:3" ht="15" customHeight="1">
      <c r="A16" s="12" t="s">
        <v>10</v>
      </c>
      <c r="B16" s="13">
        <v>0.25</v>
      </c>
      <c r="C16" s="9" t="s">
        <v>18</v>
      </c>
    </row>
    <row r="17" spans="1:3" ht="15" customHeight="1">
      <c r="A17" s="12" t="s">
        <v>12</v>
      </c>
      <c r="B17" s="13">
        <v>0.25</v>
      </c>
      <c r="C17" s="9" t="s">
        <v>18</v>
      </c>
    </row>
    <row r="19" spans="1:3" ht="15" customHeight="1">
      <c r="A19" s="4" t="s">
        <v>19</v>
      </c>
      <c r="B19" s="14">
        <f>SUM(B14:B17)</f>
        <v>1</v>
      </c>
    </row>
    <row r="21" spans="1:3" ht="15" customHeight="1">
      <c r="A21" s="5" t="s">
        <v>20</v>
      </c>
    </row>
    <row r="22" spans="1:3" ht="15" customHeight="1">
      <c r="A22" s="4" t="s">
        <v>21</v>
      </c>
      <c r="B22" s="15">
        <v>0</v>
      </c>
      <c r="C22" s="11" t="s">
        <v>22</v>
      </c>
    </row>
    <row r="24" spans="1:3" ht="15" customHeight="1">
      <c r="A24" s="5" t="s">
        <v>23</v>
      </c>
    </row>
    <row r="25" spans="1:3" ht="15" customHeight="1">
      <c r="A25" s="4" t="s">
        <v>24</v>
      </c>
      <c r="B25" s="10">
        <v>5</v>
      </c>
    </row>
    <row r="26" spans="1:3" ht="15" customHeight="1">
      <c r="A26" s="4" t="s">
        <v>25</v>
      </c>
      <c r="B26" s="16">
        <v>20500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:N17"/>
    </sheetView>
  </sheetViews>
  <sheetFormatPr defaultColWidth="8.7109375" defaultRowHeight="15"/>
  <cols>
    <col min="1" max="1" width="14" style="4" customWidth="1"/>
    <col min="2" max="4" width="11" style="4" customWidth="1"/>
    <col min="5" max="5" width="13" style="4" customWidth="1"/>
    <col min="6" max="6" width="11" style="4" customWidth="1"/>
    <col min="7" max="7" width="12" style="4" customWidth="1"/>
    <col min="8" max="8" width="11" style="4" customWidth="1"/>
    <col min="9" max="10" width="12" style="4" customWidth="1"/>
    <col min="11" max="11" width="14" style="4" customWidth="1"/>
    <col min="12" max="12" width="15" style="4" customWidth="1"/>
    <col min="13" max="13" width="8" style="4" customWidth="1"/>
    <col min="14" max="14" width="13" customWidth="1"/>
  </cols>
  <sheetData>
    <row r="1" spans="1:14" ht="17.25" customHeight="1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4" ht="15" customHeight="1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4" ht="42" customHeight="1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17" t="s">
        <v>40</v>
      </c>
      <c r="N4" s="6" t="s">
        <v>41</v>
      </c>
    </row>
    <row r="5" spans="1:14" ht="15" customHeight="1">
      <c r="A5" s="18" t="s">
        <v>42</v>
      </c>
      <c r="B5" s="12" t="s">
        <v>43</v>
      </c>
      <c r="C5" s="12" t="s">
        <v>43</v>
      </c>
      <c r="D5" s="12" t="s">
        <v>43</v>
      </c>
      <c r="E5" s="12" t="s">
        <v>43</v>
      </c>
      <c r="F5" s="12" t="s">
        <v>43</v>
      </c>
      <c r="G5" s="19">
        <f>Assumptions!$B$25</f>
        <v>5</v>
      </c>
      <c r="H5" s="12">
        <v>0</v>
      </c>
      <c r="I5" s="12">
        <v>0</v>
      </c>
      <c r="J5" s="12">
        <v>0</v>
      </c>
      <c r="K5" s="20">
        <f>Assumptions!$B$26</f>
        <v>20500</v>
      </c>
      <c r="L5" s="21">
        <f>K5</f>
        <v>20500</v>
      </c>
      <c r="M5" s="12" t="str">
        <f t="shared" ref="M5:M17" si="0">IF(K5&gt;=150000,"Yes","")</f>
        <v/>
      </c>
      <c r="N5" s="22">
        <f t="shared" ref="N5:N17" si="1">G5+H5+I5+J5</f>
        <v>5</v>
      </c>
    </row>
    <row r="6" spans="1:14" ht="15" customHeight="1">
      <c r="A6" s="7" t="s">
        <v>44</v>
      </c>
      <c r="B6" s="23">
        <f>Assumptions!$B$12</f>
        <v>2.5</v>
      </c>
      <c r="C6" s="23">
        <f>$B6*Assumptions!$B$14</f>
        <v>0.625</v>
      </c>
      <c r="D6" s="23">
        <f>$B6*Assumptions!$B$15</f>
        <v>0.625</v>
      </c>
      <c r="E6" s="23">
        <f>$B6*Assumptions!$B$16</f>
        <v>0.625</v>
      </c>
      <c r="F6" s="23">
        <f>$B6*Assumptions!$B$17</f>
        <v>0.625</v>
      </c>
      <c r="G6" s="24">
        <f>G5*(1-Assumptions!$B$22)+C6</f>
        <v>5.625</v>
      </c>
      <c r="H6" s="24">
        <f>H5*(1-Assumptions!$B$22)+D6</f>
        <v>0.625</v>
      </c>
      <c r="I6" s="24">
        <f>I5*(1-Assumptions!$B$22)+E6</f>
        <v>0.625</v>
      </c>
      <c r="J6" s="24">
        <f>J5*(1-Assumptions!$B$22)+F6</f>
        <v>0.625</v>
      </c>
      <c r="K6" s="25">
        <f>G6*Assumptions!$B$6+H6*Assumptions!$B$7+I6*Assumptions!$B$8+J6*Assumptions!$B$9</f>
        <v>29312.5</v>
      </c>
      <c r="L6" s="25">
        <f t="shared" ref="L6:L17" si="2">L5+K6</f>
        <v>49812.5</v>
      </c>
      <c r="M6" s="12" t="str">
        <f t="shared" si="0"/>
        <v/>
      </c>
      <c r="N6" s="22">
        <f t="shared" si="1"/>
        <v>7.5</v>
      </c>
    </row>
    <row r="7" spans="1:14" ht="15" customHeight="1">
      <c r="A7" s="7" t="s">
        <v>45</v>
      </c>
      <c r="B7" s="23">
        <f>Assumptions!$B$12</f>
        <v>2.5</v>
      </c>
      <c r="C7" s="23">
        <f>$B7*Assumptions!$B$14</f>
        <v>0.625</v>
      </c>
      <c r="D7" s="23">
        <f>$B7*Assumptions!$B$15</f>
        <v>0.625</v>
      </c>
      <c r="E7" s="23">
        <f>$B7*Assumptions!$B$16</f>
        <v>0.625</v>
      </c>
      <c r="F7" s="23">
        <f>$B7*Assumptions!$B$17</f>
        <v>0.625</v>
      </c>
      <c r="G7" s="24">
        <f>G6*(1-Assumptions!$B$22)+C7</f>
        <v>6.25</v>
      </c>
      <c r="H7" s="24">
        <f>H6*(1-Assumptions!$B$22)+D7</f>
        <v>1.25</v>
      </c>
      <c r="I7" s="24">
        <f>I6*(1-Assumptions!$B$22)+E7</f>
        <v>1.25</v>
      </c>
      <c r="J7" s="24">
        <f>J6*(1-Assumptions!$B$22)+F7</f>
        <v>1.25</v>
      </c>
      <c r="K7" s="25">
        <f>G7*Assumptions!$B$6+H7*Assumptions!$B$7+I7*Assumptions!$B$8+J7*Assumptions!$B$9</f>
        <v>38125</v>
      </c>
      <c r="L7" s="25">
        <f t="shared" si="2"/>
        <v>87937.5</v>
      </c>
      <c r="M7" s="12" t="str">
        <f t="shared" si="0"/>
        <v/>
      </c>
      <c r="N7" s="22">
        <f t="shared" si="1"/>
        <v>10</v>
      </c>
    </row>
    <row r="8" spans="1:14" ht="15" customHeight="1">
      <c r="A8" s="7" t="s">
        <v>46</v>
      </c>
      <c r="B8" s="23">
        <f>Assumptions!$B$12</f>
        <v>2.5</v>
      </c>
      <c r="C8" s="23">
        <f>$B8*Assumptions!$B$14</f>
        <v>0.625</v>
      </c>
      <c r="D8" s="23">
        <f>$B8*Assumptions!$B$15</f>
        <v>0.625</v>
      </c>
      <c r="E8" s="23">
        <f>$B8*Assumptions!$B$16</f>
        <v>0.625</v>
      </c>
      <c r="F8" s="23">
        <f>$B8*Assumptions!$B$17</f>
        <v>0.625</v>
      </c>
      <c r="G8" s="24">
        <f>G7*(1-Assumptions!$B$22)+C8</f>
        <v>6.875</v>
      </c>
      <c r="H8" s="24">
        <f>H7*(1-Assumptions!$B$22)+D8</f>
        <v>1.875</v>
      </c>
      <c r="I8" s="24">
        <f>I7*(1-Assumptions!$B$22)+E8</f>
        <v>1.875</v>
      </c>
      <c r="J8" s="24">
        <f>J7*(1-Assumptions!$B$22)+F8</f>
        <v>1.875</v>
      </c>
      <c r="K8" s="25">
        <f>G8*Assumptions!$B$6+H8*Assumptions!$B$7+I8*Assumptions!$B$8+J8*Assumptions!$B$9</f>
        <v>46937.5</v>
      </c>
      <c r="L8" s="25">
        <f t="shared" si="2"/>
        <v>134875</v>
      </c>
      <c r="M8" s="12" t="str">
        <f t="shared" si="0"/>
        <v/>
      </c>
      <c r="N8" s="22">
        <f t="shared" si="1"/>
        <v>12.5</v>
      </c>
    </row>
    <row r="9" spans="1:14" ht="15" customHeight="1">
      <c r="A9" s="7" t="s">
        <v>47</v>
      </c>
      <c r="B9" s="23">
        <f>Assumptions!$B$12</f>
        <v>2.5</v>
      </c>
      <c r="C9" s="23">
        <f>$B9*Assumptions!$B$14</f>
        <v>0.625</v>
      </c>
      <c r="D9" s="23">
        <f>$B9*Assumptions!$B$15</f>
        <v>0.625</v>
      </c>
      <c r="E9" s="23">
        <f>$B9*Assumptions!$B$16</f>
        <v>0.625</v>
      </c>
      <c r="F9" s="23">
        <f>$B9*Assumptions!$B$17</f>
        <v>0.625</v>
      </c>
      <c r="G9" s="24">
        <f>G8*(1-Assumptions!$B$22)+C9</f>
        <v>7.5</v>
      </c>
      <c r="H9" s="24">
        <f>H8*(1-Assumptions!$B$22)+D9</f>
        <v>2.5</v>
      </c>
      <c r="I9" s="24">
        <f>I8*(1-Assumptions!$B$22)+E9</f>
        <v>2.5</v>
      </c>
      <c r="J9" s="24">
        <f>J8*(1-Assumptions!$B$22)+F9</f>
        <v>2.5</v>
      </c>
      <c r="K9" s="25">
        <f>G9*Assumptions!$B$6+H9*Assumptions!$B$7+I9*Assumptions!$B$8+J9*Assumptions!$B$9</f>
        <v>55750</v>
      </c>
      <c r="L9" s="25">
        <f t="shared" si="2"/>
        <v>190625</v>
      </c>
      <c r="M9" s="12" t="str">
        <f t="shared" si="0"/>
        <v/>
      </c>
      <c r="N9" s="22">
        <f t="shared" si="1"/>
        <v>15</v>
      </c>
    </row>
    <row r="10" spans="1:14" ht="15" customHeight="1">
      <c r="A10" s="7" t="s">
        <v>48</v>
      </c>
      <c r="B10" s="23">
        <f>Assumptions!$B$12</f>
        <v>2.5</v>
      </c>
      <c r="C10" s="23">
        <f>$B10*Assumptions!$B$14</f>
        <v>0.625</v>
      </c>
      <c r="D10" s="23">
        <f>$B10*Assumptions!$B$15</f>
        <v>0.625</v>
      </c>
      <c r="E10" s="23">
        <f>$B10*Assumptions!$B$16</f>
        <v>0.625</v>
      </c>
      <c r="F10" s="23">
        <f>$B10*Assumptions!$B$17</f>
        <v>0.625</v>
      </c>
      <c r="G10" s="24">
        <f>G9*(1-Assumptions!$B$22)+C10</f>
        <v>8.125</v>
      </c>
      <c r="H10" s="24">
        <f>H9*(1-Assumptions!$B$22)+D10</f>
        <v>3.125</v>
      </c>
      <c r="I10" s="24">
        <f>I9*(1-Assumptions!$B$22)+E10</f>
        <v>3.125</v>
      </c>
      <c r="J10" s="24">
        <f>J9*(1-Assumptions!$B$22)+F10</f>
        <v>3.125</v>
      </c>
      <c r="K10" s="25">
        <f>G10*Assumptions!$B$6+H10*Assumptions!$B$7+I10*Assumptions!$B$8+J10*Assumptions!$B$9</f>
        <v>64562.5</v>
      </c>
      <c r="L10" s="25">
        <f t="shared" si="2"/>
        <v>255187.5</v>
      </c>
      <c r="M10" s="12" t="str">
        <f t="shared" si="0"/>
        <v/>
      </c>
      <c r="N10" s="22">
        <f t="shared" si="1"/>
        <v>17.5</v>
      </c>
    </row>
    <row r="11" spans="1:14" ht="15" customHeight="1">
      <c r="A11" s="7" t="s">
        <v>49</v>
      </c>
      <c r="B11" s="23">
        <f>Assumptions!$B$12</f>
        <v>2.5</v>
      </c>
      <c r="C11" s="23">
        <f>$B11*Assumptions!$B$14</f>
        <v>0.625</v>
      </c>
      <c r="D11" s="23">
        <f>$B11*Assumptions!$B$15</f>
        <v>0.625</v>
      </c>
      <c r="E11" s="23">
        <f>$B11*Assumptions!$B$16</f>
        <v>0.625</v>
      </c>
      <c r="F11" s="23">
        <f>$B11*Assumptions!$B$17</f>
        <v>0.625</v>
      </c>
      <c r="G11" s="24">
        <f>G10*(1-Assumptions!$B$22)+C11</f>
        <v>8.75</v>
      </c>
      <c r="H11" s="24">
        <f>H10*(1-Assumptions!$B$22)+D11</f>
        <v>3.75</v>
      </c>
      <c r="I11" s="24">
        <f>I10*(1-Assumptions!$B$22)+E11</f>
        <v>3.75</v>
      </c>
      <c r="J11" s="24">
        <f>J10*(1-Assumptions!$B$22)+F11</f>
        <v>3.75</v>
      </c>
      <c r="K11" s="25">
        <f>G11*Assumptions!$B$6+H11*Assumptions!$B$7+I11*Assumptions!$B$8+J11*Assumptions!$B$9</f>
        <v>73375</v>
      </c>
      <c r="L11" s="25">
        <f t="shared" si="2"/>
        <v>328562.5</v>
      </c>
      <c r="M11" s="12" t="str">
        <f t="shared" si="0"/>
        <v/>
      </c>
      <c r="N11" s="22">
        <f t="shared" si="1"/>
        <v>20</v>
      </c>
    </row>
    <row r="12" spans="1:14" ht="15" customHeight="1">
      <c r="A12" s="7" t="s">
        <v>50</v>
      </c>
      <c r="B12" s="23">
        <f>Assumptions!$B$12</f>
        <v>2.5</v>
      </c>
      <c r="C12" s="23">
        <f>$B12*Assumptions!$B$14</f>
        <v>0.625</v>
      </c>
      <c r="D12" s="23">
        <f>$B12*Assumptions!$B$15</f>
        <v>0.625</v>
      </c>
      <c r="E12" s="23">
        <f>$B12*Assumptions!$B$16</f>
        <v>0.625</v>
      </c>
      <c r="F12" s="23">
        <f>$B12*Assumptions!$B$17</f>
        <v>0.625</v>
      </c>
      <c r="G12" s="24">
        <f>G11*(1-Assumptions!$B$22)+C12</f>
        <v>9.375</v>
      </c>
      <c r="H12" s="24">
        <f>H11*(1-Assumptions!$B$22)+D12</f>
        <v>4.375</v>
      </c>
      <c r="I12" s="24">
        <f>I11*(1-Assumptions!$B$22)+E12</f>
        <v>4.375</v>
      </c>
      <c r="J12" s="24">
        <f>J11*(1-Assumptions!$B$22)+F12</f>
        <v>4.375</v>
      </c>
      <c r="K12" s="25">
        <f>G12*Assumptions!$B$6+H12*Assumptions!$B$7+I12*Assumptions!$B$8+J12*Assumptions!$B$9</f>
        <v>82187.5</v>
      </c>
      <c r="L12" s="25">
        <f t="shared" si="2"/>
        <v>410750</v>
      </c>
      <c r="M12" s="12" t="str">
        <f t="shared" si="0"/>
        <v/>
      </c>
      <c r="N12" s="22">
        <f t="shared" si="1"/>
        <v>22.5</v>
      </c>
    </row>
    <row r="13" spans="1:14" ht="15" customHeight="1">
      <c r="A13" s="7" t="s">
        <v>51</v>
      </c>
      <c r="B13" s="23">
        <f>Assumptions!$B$12</f>
        <v>2.5</v>
      </c>
      <c r="C13" s="23">
        <f>$B13*Assumptions!$B$14</f>
        <v>0.625</v>
      </c>
      <c r="D13" s="23">
        <f>$B13*Assumptions!$B$15</f>
        <v>0.625</v>
      </c>
      <c r="E13" s="23">
        <f>$B13*Assumptions!$B$16</f>
        <v>0.625</v>
      </c>
      <c r="F13" s="23">
        <f>$B13*Assumptions!$B$17</f>
        <v>0.625</v>
      </c>
      <c r="G13" s="24">
        <f>G12*(1-Assumptions!$B$22)+C13</f>
        <v>10</v>
      </c>
      <c r="H13" s="24">
        <f>H12*(1-Assumptions!$B$22)+D13</f>
        <v>5</v>
      </c>
      <c r="I13" s="24">
        <f>I12*(1-Assumptions!$B$22)+E13</f>
        <v>5</v>
      </c>
      <c r="J13" s="24">
        <f>J12*(1-Assumptions!$B$22)+F13</f>
        <v>5</v>
      </c>
      <c r="K13" s="25">
        <f>G13*Assumptions!$B$6+H13*Assumptions!$B$7+I13*Assumptions!$B$8+J13*Assumptions!$B$9</f>
        <v>91000</v>
      </c>
      <c r="L13" s="25">
        <f t="shared" si="2"/>
        <v>501750</v>
      </c>
      <c r="M13" s="12" t="str">
        <f t="shared" si="0"/>
        <v/>
      </c>
      <c r="N13" s="22">
        <f t="shared" si="1"/>
        <v>25</v>
      </c>
    </row>
    <row r="14" spans="1:14" ht="15" customHeight="1">
      <c r="A14" s="7" t="s">
        <v>52</v>
      </c>
      <c r="B14" s="23">
        <f>Assumptions!$B$12</f>
        <v>2.5</v>
      </c>
      <c r="C14" s="23">
        <f>$B14*Assumptions!$B$14</f>
        <v>0.625</v>
      </c>
      <c r="D14" s="23">
        <f>$B14*Assumptions!$B$15</f>
        <v>0.625</v>
      </c>
      <c r="E14" s="23">
        <f>$B14*Assumptions!$B$16</f>
        <v>0.625</v>
      </c>
      <c r="F14" s="23">
        <f>$B14*Assumptions!$B$17</f>
        <v>0.625</v>
      </c>
      <c r="G14" s="24">
        <f>G13*(1-Assumptions!$B$22)+C14</f>
        <v>10.625</v>
      </c>
      <c r="H14" s="24">
        <f>H13*(1-Assumptions!$B$22)+D14</f>
        <v>5.625</v>
      </c>
      <c r="I14" s="24">
        <f>I13*(1-Assumptions!$B$22)+E14</f>
        <v>5.625</v>
      </c>
      <c r="J14" s="24">
        <f>J13*(1-Assumptions!$B$22)+F14</f>
        <v>5.625</v>
      </c>
      <c r="K14" s="25">
        <f>G14*Assumptions!$B$6+H14*Assumptions!$B$7+I14*Assumptions!$B$8+J14*Assumptions!$B$9</f>
        <v>99812.5</v>
      </c>
      <c r="L14" s="25">
        <f t="shared" si="2"/>
        <v>601562.5</v>
      </c>
      <c r="M14" s="12" t="str">
        <f t="shared" si="0"/>
        <v/>
      </c>
      <c r="N14" s="22">
        <f t="shared" si="1"/>
        <v>27.5</v>
      </c>
    </row>
    <row r="15" spans="1:14" ht="15" customHeight="1">
      <c r="A15" s="7" t="s">
        <v>53</v>
      </c>
      <c r="B15" s="23">
        <f>Assumptions!$B$12</f>
        <v>2.5</v>
      </c>
      <c r="C15" s="23">
        <f>$B15*Assumptions!$B$14</f>
        <v>0.625</v>
      </c>
      <c r="D15" s="23">
        <f>$B15*Assumptions!$B$15</f>
        <v>0.625</v>
      </c>
      <c r="E15" s="23">
        <f>$B15*Assumptions!$B$16</f>
        <v>0.625</v>
      </c>
      <c r="F15" s="23">
        <f>$B15*Assumptions!$B$17</f>
        <v>0.625</v>
      </c>
      <c r="G15" s="24">
        <f>G14*(1-Assumptions!$B$22)+C15</f>
        <v>11.25</v>
      </c>
      <c r="H15" s="24">
        <f>H14*(1-Assumptions!$B$22)+D15</f>
        <v>6.25</v>
      </c>
      <c r="I15" s="24">
        <f>I14*(1-Assumptions!$B$22)+E15</f>
        <v>6.25</v>
      </c>
      <c r="J15" s="24">
        <f>J14*(1-Assumptions!$B$22)+F15</f>
        <v>6.25</v>
      </c>
      <c r="K15" s="25">
        <f>G15*Assumptions!$B$6+H15*Assumptions!$B$7+I15*Assumptions!$B$8+J15*Assumptions!$B$9</f>
        <v>108625</v>
      </c>
      <c r="L15" s="25">
        <f t="shared" si="2"/>
        <v>710187.5</v>
      </c>
      <c r="M15" s="12" t="str">
        <f t="shared" si="0"/>
        <v/>
      </c>
      <c r="N15" s="22">
        <f t="shared" si="1"/>
        <v>30</v>
      </c>
    </row>
    <row r="16" spans="1:14" ht="15" customHeight="1">
      <c r="A16" s="7" t="s">
        <v>54</v>
      </c>
      <c r="B16" s="23">
        <f>Assumptions!$B$12</f>
        <v>2.5</v>
      </c>
      <c r="C16" s="23">
        <f>$B16*Assumptions!$B$14</f>
        <v>0.625</v>
      </c>
      <c r="D16" s="23">
        <f>$B16*Assumptions!$B$15</f>
        <v>0.625</v>
      </c>
      <c r="E16" s="23">
        <f>$B16*Assumptions!$B$16</f>
        <v>0.625</v>
      </c>
      <c r="F16" s="23">
        <f>$B16*Assumptions!$B$17</f>
        <v>0.625</v>
      </c>
      <c r="G16" s="24">
        <f>G15*(1-Assumptions!$B$22)+C16</f>
        <v>11.875</v>
      </c>
      <c r="H16" s="24">
        <f>H15*(1-Assumptions!$B$22)+D16</f>
        <v>6.875</v>
      </c>
      <c r="I16" s="24">
        <f>I15*(1-Assumptions!$B$22)+E16</f>
        <v>6.875</v>
      </c>
      <c r="J16" s="24">
        <f>J15*(1-Assumptions!$B$22)+F16</f>
        <v>6.875</v>
      </c>
      <c r="K16" s="25">
        <f>G16*Assumptions!$B$6+H16*Assumptions!$B$7+I16*Assumptions!$B$8+J16*Assumptions!$B$9</f>
        <v>117437.5</v>
      </c>
      <c r="L16" s="25">
        <f t="shared" si="2"/>
        <v>827625</v>
      </c>
      <c r="M16" s="12" t="str">
        <f t="shared" si="0"/>
        <v/>
      </c>
      <c r="N16" s="22">
        <f t="shared" si="1"/>
        <v>32.5</v>
      </c>
    </row>
    <row r="17" spans="1:14" ht="15" customHeight="1">
      <c r="A17" s="7" t="s">
        <v>55</v>
      </c>
      <c r="B17" s="23">
        <f>Assumptions!$B$12</f>
        <v>2.5</v>
      </c>
      <c r="C17" s="23">
        <f>$B17*Assumptions!$B$14</f>
        <v>0.625</v>
      </c>
      <c r="D17" s="23">
        <f>$B17*Assumptions!$B$15</f>
        <v>0.625</v>
      </c>
      <c r="E17" s="23">
        <f>$B17*Assumptions!$B$16</f>
        <v>0.625</v>
      </c>
      <c r="F17" s="23">
        <f>$B17*Assumptions!$B$17</f>
        <v>0.625</v>
      </c>
      <c r="G17" s="24">
        <f>G16*(1-Assumptions!$B$22)+C17</f>
        <v>12.5</v>
      </c>
      <c r="H17" s="24">
        <f>H16*(1-Assumptions!$B$22)+D17</f>
        <v>7.5</v>
      </c>
      <c r="I17" s="24">
        <f>I16*(1-Assumptions!$B$22)+E17</f>
        <v>7.5</v>
      </c>
      <c r="J17" s="24">
        <f>J16*(1-Assumptions!$B$22)+F17</f>
        <v>7.5</v>
      </c>
      <c r="K17" s="25">
        <f>G17*Assumptions!$B$6+H17*Assumptions!$B$7+I17*Assumptions!$B$8+J17*Assumptions!$B$9</f>
        <v>126250</v>
      </c>
      <c r="L17" s="25">
        <f t="shared" si="2"/>
        <v>953875</v>
      </c>
      <c r="M17" s="12" t="str">
        <f t="shared" si="0"/>
        <v/>
      </c>
      <c r="N17" s="22">
        <f t="shared" si="1"/>
        <v>35</v>
      </c>
    </row>
    <row r="19" spans="1:14" ht="15" customHeight="1">
      <c r="A19" s="5" t="s">
        <v>56</v>
      </c>
      <c r="C19" s="1" t="str">
        <f>IFERROR(INDEX(A5:A17,MATCH("Yes",M5:M17,0)),"Not within 12 months — extend horizon or raise close rate")</f>
        <v>Not within 12 months — extend horizon or raise close rate</v>
      </c>
      <c r="D19" s="1"/>
      <c r="E19" s="1"/>
      <c r="F19" s="1"/>
    </row>
  </sheetData>
  <mergeCells count="3">
    <mergeCell ref="A1:L1"/>
    <mergeCell ref="A2:L2"/>
    <mergeCell ref="C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Monthly Projection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Asanetic</cp:lastModifiedBy>
  <cp:revision>0</cp:revision>
  <dcterms:created xsi:type="dcterms:W3CDTF">2026-08-31T00:57:23Z</dcterms:created>
  <dcterms:modified xsi:type="dcterms:W3CDTF">2026-08-31T01:08:52Z</dcterms:modified>
  <dc:language>en-US</dc:language>
</cp:coreProperties>
</file>